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Roadmap" sheetId="1" state="visible" r:id="rId3"/>
  </sheets>
  <definedNames>
    <definedName function="false" hidden="true" localSheetId="0" name="_xlnm._FilterDatabase" vbProcedure="false">'DSA Roadmap'!$A$1:$H$181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<sst xmlns="http://schemas.openxmlformats.org/spreadsheetml/2006/main" count="925" uniqueCount="233">
  <si>
    <t xml:space="preserve">Category</t>
  </si>
  <si>
    <t xml:space="preserve">Problem #</t>
  </si>
  <si>
    <t xml:space="preserve">Problem Title</t>
  </si>
  <si>
    <t xml:space="preserve">Difficulty</t>
  </si>
  <si>
    <t xml:space="preserve">Solved</t>
  </si>
  <si>
    <t xml:space="preserve">Retried</t>
  </si>
  <si>
    <t xml:space="preserve">LeetCode URL</t>
  </si>
  <si>
    <t xml:space="preserve">Notes</t>
  </si>
  <si>
    <t xml:space="preserve">Sliding Window</t>
  </si>
  <si>
    <t xml:space="preserve">Medium</t>
  </si>
  <si>
    <t xml:space="preserve">Yes</t>
  </si>
  <si>
    <t xml:space="preserve">No</t>
  </si>
  <si>
    <t xml:space="preserve">https://leetcode.com/problems/longest-substring-without-repeating-characters/</t>
  </si>
  <si>
    <t xml:space="preserve">You can also solve this using an array instead of a hash map. I just like the hashmap better.</t>
  </si>
  <si>
    <t xml:space="preserve">Hard</t>
  </si>
  <si>
    <t xml:space="preserve">https://leetcode.com/problems/minimum-window-substring/</t>
  </si>
  <si>
    <t xml:space="preserve">Try not to over-optimize which can lead you to complicate your code.</t>
  </si>
  <si>
    <t xml:space="preserve">https://leetcode.com/problems/minimum-size-subarray-sum/</t>
  </si>
  <si>
    <t xml:space="preserve">Read the question in its entirety before coming up with a solution ;)</t>
  </si>
  <si>
    <t xml:space="preserve">https://leetcode.com/problems/longest-repeating-character-replacement/</t>
  </si>
  <si>
    <t xml:space="preserve">Don’t think too much about what character to substitute with, but rather create a window that satisfies all k substitutions</t>
  </si>
  <si>
    <t xml:space="preserve">https://leetcode.com/problems/permutation-in-string/</t>
  </si>
  <si>
    <t xml:space="preserve">https://leetcode.com/problems/fruit-into-baskets/</t>
  </si>
  <si>
    <t xml:space="preserve">Two Pointers</t>
  </si>
  <si>
    <t xml:space="preserve">https://leetcode.com/problems/container-with-most-water/</t>
  </si>
  <si>
    <t xml:space="preserve">Straightforward 2-pointer. Do not overthink this.</t>
  </si>
  <si>
    <t xml:space="preserve">https://leetcode.com/problems/3sum/</t>
  </si>
  <si>
    <t xml:space="preserve">Choosing each number and performing 2sum on subsequent subarray</t>
  </si>
  <si>
    <t xml:space="preserve">https://leetcode.com/problems/3sum-closest/</t>
  </si>
  <si>
    <t xml:space="preserve">Same as 3sum but check for the smallest difference between target and sum.</t>
  </si>
  <si>
    <t xml:space="preserve">https://leetcode.com/problems/4sum/</t>
  </si>
  <si>
    <t xml:space="preserve">Using 3sum and 2sum together. No overthinking.</t>
  </si>
  <si>
    <t xml:space="preserve">https://leetcode.com/problems/trapping-rain-water/</t>
  </si>
  <si>
    <t xml:space="preserve">https://leetcode.com/problems/two-sum-ii-input-array-is-sorted/</t>
  </si>
  <si>
    <t xml:space="preserve">Fast/Slow Pointers (Linked List)</t>
  </si>
  <si>
    <t xml:space="preserve">Easy</t>
  </si>
  <si>
    <t xml:space="preserve">https://leetcode.com/problems/linked-list-cycle/</t>
  </si>
  <si>
    <t xml:space="preserve">very simple. Fast and slow pointers. Don’t overcomplicate.</t>
  </si>
  <si>
    <t xml:space="preserve">https://leetcode.com/problems/linked-list-cycle-ii/</t>
  </si>
  <si>
    <t xml:space="preserve">easy if using extra memory. Tricky if not. Remember tortoise-hare pattern for most linked list problems.</t>
  </si>
  <si>
    <t xml:space="preserve">https://leetcode.com/problems/remove-nth-node-from-end-of-list/</t>
  </si>
  <si>
    <t xml:space="preserve">https://leetcode.com/problems/middle-of-the-linked-list/</t>
  </si>
  <si>
    <t xml:space="preserve">https://leetcode.com/problems/intersection-of-two-linked-lists/</t>
  </si>
  <si>
    <t xml:space="preserve">https://leetcode.com/problems/palindrome-linked-list/</t>
  </si>
  <si>
    <t xml:space="preserve">Binary Search on Sorted Data</t>
  </si>
  <si>
    <t xml:space="preserve">https://leetcode.com/problems/search-in-rotated-sorted-array/</t>
  </si>
  <si>
    <t xml:space="preserve">https://leetcode.com/problems/find-first-and-last-position-of-element-in-sorted-array/</t>
  </si>
  <si>
    <t xml:space="preserve">https://leetcode.com/problems/search-insert-position/</t>
  </si>
  <si>
    <t xml:space="preserve">https://leetcode.com/problems/find-minimum-in-rotated-sorted-array/</t>
  </si>
  <si>
    <t xml:space="preserve">https://leetcode.com/problems/find-peak-element/</t>
  </si>
  <si>
    <t xml:space="preserve">https://leetcode.com/problems/binary-search/</t>
  </si>
  <si>
    <t xml:space="preserve">Binary Search on Answer</t>
  </si>
  <si>
    <t xml:space="preserve">https://leetcode.com/problems/koko-eating-bananas/</t>
  </si>
  <si>
    <t xml:space="preserve">https://leetcode.com/problems/capacity-to-ship-packages-within-d-days/</t>
  </si>
  <si>
    <t xml:space="preserve">https://leetcode.com/problems/split-array-largest-sum/</t>
  </si>
  <si>
    <t xml:space="preserve">https://leetcode.com/problems/minimize-max-distance-to-gas-station/</t>
  </si>
  <si>
    <t xml:space="preserve">Premium</t>
  </si>
  <si>
    <t xml:space="preserve">https://leetcode.com/problems/find-the-smallest-divisor-given-a-threshold/</t>
  </si>
  <si>
    <t xml:space="preserve">https://leetcode.com/problems/minimum-number-of-days-to-make-m-bouquets/</t>
  </si>
  <si>
    <t xml:space="preserve">Hashing / Frequency Maps</t>
  </si>
  <si>
    <t xml:space="preserve">https://leetcode.com/problems/two-sum/</t>
  </si>
  <si>
    <t xml:space="preserve">https://leetcode.com/problems/group-anagrams/</t>
  </si>
  <si>
    <t xml:space="preserve">https://leetcode.com/problems/longest-consecutive-sequence/</t>
  </si>
  <si>
    <t xml:space="preserve">https://leetcode.com/problems/contains-duplicate/</t>
  </si>
  <si>
    <t xml:space="preserve">https://leetcode.com/problems/valid-anagram/</t>
  </si>
  <si>
    <t xml:space="preserve">https://leetcode.com/problems/top-k-frequent-elements/</t>
  </si>
  <si>
    <t xml:space="preserve">Prefix Sum / Running Sum</t>
  </si>
  <si>
    <t xml:space="preserve">https://leetcode.com/problems/range-sum-query-immutable/</t>
  </si>
  <si>
    <t xml:space="preserve">https://leetcode.com/problems/subarray-sum-equals-k/</t>
  </si>
  <si>
    <t xml:space="preserve">https://leetcode.com/problems/find-pivot-index/</t>
  </si>
  <si>
    <t xml:space="preserve">https://leetcode.com/problems/binary-subarrays-with-sum/</t>
  </si>
  <si>
    <t xml:space="preserve">https://leetcode.com/problems/subarray-sums-divisible-by-k/</t>
  </si>
  <si>
    <t xml:space="preserve">https://leetcode.com/problems/continuous-subarray-sum/</t>
  </si>
  <si>
    <t xml:space="preserve">Difference Array / Range Updates</t>
  </si>
  <si>
    <t xml:space="preserve">https://leetcode.com/problems/range-addition/</t>
  </si>
  <si>
    <t xml:space="preserve">https://leetcode.com/problems/car-pooling/</t>
  </si>
  <si>
    <t xml:space="preserve">https://leetcode.com/problems/corporate-flight-bookings/</t>
  </si>
  <si>
    <t xml:space="preserve">https://leetcode.com/problems/check-if-all-the-integers-in-a-range-are-covered/</t>
  </si>
  <si>
    <t xml:space="preserve">https://leetcode.com/problems/describe-the-painting/</t>
  </si>
  <si>
    <t xml:space="preserve">https://leetcode.com/problems/shifting-letters-ii/</t>
  </si>
  <si>
    <t xml:space="preserve">Monotonic Stack</t>
  </si>
  <si>
    <t xml:space="preserve">https://leetcode.com/problems/daily-temperatures/</t>
  </si>
  <si>
    <t xml:space="preserve">https://leetcode.com/problems/next-greater-element-i/</t>
  </si>
  <si>
    <t xml:space="preserve">https://leetcode.com/problems/next-greater-element-ii/</t>
  </si>
  <si>
    <t xml:space="preserve">https://leetcode.com/problems/largest-rectangle-in-histogram/</t>
  </si>
  <si>
    <t xml:space="preserve">https://leetcode.com/problems/maximal-rectangle/</t>
  </si>
  <si>
    <t xml:space="preserve">https://leetcode.com/problems/online-stock-span/</t>
  </si>
  <si>
    <t xml:space="preserve">Monotonic Queue / Deque</t>
  </si>
  <si>
    <t xml:space="preserve">https://leetcode.com/problems/sliding-window-maximum/</t>
  </si>
  <si>
    <t xml:space="preserve">https://leetcode.com/problems/shortest-subarray-with-sum-at-least-k/</t>
  </si>
  <si>
    <t xml:space="preserve">https://leetcode.com/problems/constrained-subsequence-sum/</t>
  </si>
  <si>
    <t xml:space="preserve">https://leetcode.com/problems/longest-continuous-subarray-with-absolute-diff-less-than-or-equal-to-limit/</t>
  </si>
  <si>
    <t xml:space="preserve">https://leetcode.com/problems/max-value-of-equation/</t>
  </si>
  <si>
    <t xml:space="preserve">https://leetcode.com/problems/jump-game-vi/</t>
  </si>
  <si>
    <t xml:space="preserve">Heap / Top K</t>
  </si>
  <si>
    <t xml:space="preserve">https://leetcode.com/problems/kth-largest-element-in-an-array/</t>
  </si>
  <si>
    <t xml:space="preserve">https://leetcode.com/problems/top-k-frequent-words/</t>
  </si>
  <si>
    <t xml:space="preserve">https://leetcode.com/problems/kth-largest-element-in-a-stream/</t>
  </si>
  <si>
    <t xml:space="preserve">https://leetcode.com/problems/k-closest-points-to-origin/</t>
  </si>
  <si>
    <t xml:space="preserve">https://leetcode.com/problems/last-stone-weight/</t>
  </si>
  <si>
    <t xml:space="preserve">Intervals</t>
  </si>
  <si>
    <t xml:space="preserve">https://leetcode.com/problems/merge-intervals/</t>
  </si>
  <si>
    <t xml:space="preserve">https://leetcode.com/problems/insert-interval/</t>
  </si>
  <si>
    <t xml:space="preserve">https://leetcode.com/problems/meeting-rooms/</t>
  </si>
  <si>
    <t xml:space="preserve">https://leetcode.com/problems/meeting-rooms-ii/</t>
  </si>
  <si>
    <t xml:space="preserve">https://leetcode.com/problems/non-overlapping-intervals/</t>
  </si>
  <si>
    <t xml:space="preserve">https://leetcode.com/problems/minimum-number-of-arrows-to-burst-balloons/</t>
  </si>
  <si>
    <t xml:space="preserve">Greedy Scheduling / Sorting</t>
  </si>
  <si>
    <t xml:space="preserve">https://leetcode.com/problems/jump-game-ii/</t>
  </si>
  <si>
    <t xml:space="preserve">https://leetcode.com/problems/jump-game/</t>
  </si>
  <si>
    <t xml:space="preserve">https://leetcode.com/problems/queue-reconstruction-by-height/</t>
  </si>
  <si>
    <t xml:space="preserve">https://leetcode.com/problems/task-scheduler/</t>
  </si>
  <si>
    <t xml:space="preserve">https://leetcode.com/problems/partition-labels/</t>
  </si>
  <si>
    <t xml:space="preserve">https://leetcode.com/problems/gas-station/</t>
  </si>
  <si>
    <t xml:space="preserve">Linked List Manipulation</t>
  </si>
  <si>
    <t xml:space="preserve">https://leetcode.com/problems/merge-two-sorted-lists/</t>
  </si>
  <si>
    <t xml:space="preserve">https://leetcode.com/problems/merge-k-sorted-lists/</t>
  </si>
  <si>
    <t xml:space="preserve">https://leetcode.com/problems/swap-nodes-in-pairs/</t>
  </si>
  <si>
    <t xml:space="preserve">https://leetcode.com/problems/reverse-nodes-in-k-group/</t>
  </si>
  <si>
    <t xml:space="preserve">https://leetcode.com/problems/reverse-linked-list-ii/</t>
  </si>
  <si>
    <t xml:space="preserve">https://leetcode.com/problems/copy-list-with-random-pointer/</t>
  </si>
  <si>
    <t xml:space="preserve">Tree DFS</t>
  </si>
  <si>
    <t xml:space="preserve">https://leetcode.com/problems/maximum-depth-of-binary-tree/</t>
  </si>
  <si>
    <t xml:space="preserve">https://leetcode.com/problems/path-sum/</t>
  </si>
  <si>
    <t xml:space="preserve">https://leetcode.com/problems/path-sum-ii/</t>
  </si>
  <si>
    <t xml:space="preserve">https://leetcode.com/problems/diameter-of-binary-tree/</t>
  </si>
  <si>
    <t xml:space="preserve">https://leetcode.com/problems/binary-tree-maximum-path-sum/</t>
  </si>
  <si>
    <t xml:space="preserve">https://leetcode.com/problems/invert-binary-tree/</t>
  </si>
  <si>
    <t xml:space="preserve">Tree BFS / Level Order</t>
  </si>
  <si>
    <t xml:space="preserve">https://leetcode.com/problems/binary-tree-level-order-traversal/</t>
  </si>
  <si>
    <t xml:space="preserve">https://leetcode.com/problems/binary-tree-zigzag-level-order-traversal/</t>
  </si>
  <si>
    <t xml:space="preserve">https://leetcode.com/problems/binary-tree-right-side-view/</t>
  </si>
  <si>
    <t xml:space="preserve">https://leetcode.com/problems/find-largest-value-in-each-tree-row/</t>
  </si>
  <si>
    <t xml:space="preserve">https://leetcode.com/problems/average-of-levels-in-binary-tree/</t>
  </si>
  <si>
    <t xml:space="preserve">https://leetcode.com/problems/populating-next-right-pointers-in-each-node/</t>
  </si>
  <si>
    <t xml:space="preserve">BST Problems</t>
  </si>
  <si>
    <t xml:space="preserve">https://leetcode.com/problems/validate-binary-search-tree/</t>
  </si>
  <si>
    <t xml:space="preserve">https://leetcode.com/problems/recover-binary-search-tree/</t>
  </si>
  <si>
    <t xml:space="preserve">https://leetcode.com/problems/kth-smallest-element-in-a-bst/</t>
  </si>
  <si>
    <t xml:space="preserve">https://leetcode.com/problems/lowest-common-ancestor-of-a-binary-search-tree/</t>
  </si>
  <si>
    <t xml:space="preserve">https://leetcode.com/problems/delete-node-in-a-bst/</t>
  </si>
  <si>
    <t xml:space="preserve">https://leetcode.com/problems/search-in-a-binary-search-tree/</t>
  </si>
  <si>
    <t xml:space="preserve">Backtracking Basics</t>
  </si>
  <si>
    <t xml:space="preserve">https://leetcode.com/problems/permutations/</t>
  </si>
  <si>
    <t xml:space="preserve">https://leetcode.com/problems/permutations-ii/</t>
  </si>
  <si>
    <t xml:space="preserve">https://leetcode.com/problems/combinations/</t>
  </si>
  <si>
    <t xml:space="preserve">https://leetcode.com/problems/subsets/</t>
  </si>
  <si>
    <t xml:space="preserve">https://leetcode.com/problems/subsets-ii/</t>
  </si>
  <si>
    <t xml:space="preserve">https://leetcode.com/problems/combination-sum/</t>
  </si>
  <si>
    <t xml:space="preserve">Backtracking with Constraints</t>
  </si>
  <si>
    <t xml:space="preserve">https://leetcode.com/problems/combination-sum-ii/</t>
  </si>
  <si>
    <t xml:space="preserve">https://leetcode.com/problems/letter-combinations-of-a-phone-number/</t>
  </si>
  <si>
    <t xml:space="preserve">https://leetcode.com/problems/word-search/</t>
  </si>
  <si>
    <t xml:space="preserve">https://leetcode.com/problems/palindrome-partitioning/</t>
  </si>
  <si>
    <t xml:space="preserve">https://leetcode.com/problems/n-queens/</t>
  </si>
  <si>
    <t xml:space="preserve">https://leetcode.com/problems/n-queens-ii/</t>
  </si>
  <si>
    <t xml:space="preserve">Graph BFS / DFS</t>
  </si>
  <si>
    <t xml:space="preserve">https://leetcode.com/problems/number-of-islands/</t>
  </si>
  <si>
    <t xml:space="preserve">https://leetcode.com/problems/max-area-of-island/</t>
  </si>
  <si>
    <t xml:space="preserve">https://leetcode.com/problems/flood-fill/</t>
  </si>
  <si>
    <t xml:space="preserve">https://leetcode.com/problems/rotting-oranges/</t>
  </si>
  <si>
    <t xml:space="preserve">https://leetcode.com/problems/shortest-path-in-binary-matrix/</t>
  </si>
  <si>
    <t xml:space="preserve">https://leetcode.com/problems/number-of-closed-islands/</t>
  </si>
  <si>
    <t xml:space="preserve">Topological Sort / DAG</t>
  </si>
  <si>
    <t xml:space="preserve">https://leetcode.com/problems/course-schedule/</t>
  </si>
  <si>
    <t xml:space="preserve">https://leetcode.com/problems/course-schedule-ii/</t>
  </si>
  <si>
    <t xml:space="preserve">https://leetcode.com/problems/find-eventual-safe-states/</t>
  </si>
  <si>
    <t xml:space="preserve">https://leetcode.com/problems/course-schedule-iv/</t>
  </si>
  <si>
    <t xml:space="preserve">https://leetcode.com/problems/sort-items-by-groups-respecting-dependencies/</t>
  </si>
  <si>
    <t xml:space="preserve">https://leetcode.com/problems/find-all-possible-recipes-from-given-supplies/</t>
  </si>
  <si>
    <t xml:space="preserve">Union Find / DSU</t>
  </si>
  <si>
    <t xml:space="preserve">https://leetcode.com/problems/number-of-provinces/</t>
  </si>
  <si>
    <t xml:space="preserve">https://leetcode.com/problems/redundant-connection/</t>
  </si>
  <si>
    <t xml:space="preserve">https://leetcode.com/problems/number-of-operations-to-make-network-connected/</t>
  </si>
  <si>
    <t xml:space="preserve">https://leetcode.com/problems/remove-max-number-of-edges-to-keep-graph-fully-traversable/</t>
  </si>
  <si>
    <t xml:space="preserve">https://leetcode.com/problems/satisfiability-of-equality-equations/</t>
  </si>
  <si>
    <t xml:space="preserve">https://leetcode.com/problems/smallest-string-with-swaps/</t>
  </si>
  <si>
    <t xml:space="preserve">Shortest Path</t>
  </si>
  <si>
    <t xml:space="preserve">https://leetcode.com/problems/network-delay-time/</t>
  </si>
  <si>
    <t xml:space="preserve">https://leetcode.com/problems/cheapest-flights-within-k-stops/</t>
  </si>
  <si>
    <t xml:space="preserve">https://leetcode.com/problems/path-with-maximum-probability/</t>
  </si>
  <si>
    <t xml:space="preserve">https://leetcode.com/problems/path-with-minimum-effort/</t>
  </si>
  <si>
    <t xml:space="preserve">https://leetcode.com/problems/find-the-city-with-the-smallest-number-of-neighbors-at-a-threshold-distance/</t>
  </si>
  <si>
    <t xml:space="preserve">https://leetcode.com/problems/number-of-ways-to-arrive-at-destination/</t>
  </si>
  <si>
    <t xml:space="preserve">MST / Graph Greedy</t>
  </si>
  <si>
    <t xml:space="preserve">https://leetcode.com/problems/min-cost-to-connect-all-points/</t>
  </si>
  <si>
    <t xml:space="preserve">https://leetcode.com/problems/connecting-cities-with-minimum-cost/</t>
  </si>
  <si>
    <t xml:space="preserve">https://leetcode.com/problems/optimize-water-distribution-in-a-village/</t>
  </si>
  <si>
    <t xml:space="preserve">https://leetcode.com/problems/find-critical-and-pseudo-critical-edges-in-minimum-spanning-tree/</t>
  </si>
  <si>
    <t xml:space="preserve">https://leetcode.com/problems/swim-in-rising-water/</t>
  </si>
  <si>
    <t xml:space="preserve">https://leetcode.com/problems/path-with-maximum-minimum-value/</t>
  </si>
  <si>
    <t xml:space="preserve">Trie</t>
  </si>
  <si>
    <t xml:space="preserve">https://leetcode.com/problems/implement-trie-prefix-tree/</t>
  </si>
  <si>
    <t xml:space="preserve">https://leetcode.com/problems/design-add-and-search-words-data-structure/</t>
  </si>
  <si>
    <t xml:space="preserve">https://leetcode.com/problems/word-search-ii/</t>
  </si>
  <si>
    <t xml:space="preserve">https://leetcode.com/problems/replace-words/</t>
  </si>
  <si>
    <t xml:space="preserve">https://leetcode.com/problems/map-sum-pairs/</t>
  </si>
  <si>
    <t xml:space="preserve">https://leetcode.com/problems/search-suggestions-system/</t>
  </si>
  <si>
    <t xml:space="preserve">Bit Manipulation</t>
  </si>
  <si>
    <t xml:space="preserve">https://leetcode.com/problems/single-number/</t>
  </si>
  <si>
    <t xml:space="preserve">https://leetcode.com/problems/single-number-ii/</t>
  </si>
  <si>
    <t xml:space="preserve">https://leetcode.com/problems/number-of-1-bits/</t>
  </si>
  <si>
    <t xml:space="preserve">https://leetcode.com/problems/counting-bits/</t>
  </si>
  <si>
    <t xml:space="preserve">https://leetcode.com/problems/missing-number/</t>
  </si>
  <si>
    <t xml:space="preserve">https://leetcode.com/problems/reverse-bits/</t>
  </si>
  <si>
    <t xml:space="preserve">1D DP Basics</t>
  </si>
  <si>
    <t xml:space="preserve">https://leetcode.com/problems/climbing-stairs/</t>
  </si>
  <si>
    <t xml:space="preserve">https://leetcode.com/problems/house-robber/</t>
  </si>
  <si>
    <t xml:space="preserve">https://leetcode.com/problems/house-robber-ii/</t>
  </si>
  <si>
    <t xml:space="preserve">https://leetcode.com/problems/coin-change/</t>
  </si>
  <si>
    <t xml:space="preserve">https://leetcode.com/problems/perfect-squares/</t>
  </si>
  <si>
    <t xml:space="preserve">https://leetcode.com/problems/longest-increasing-subsequence/</t>
  </si>
  <si>
    <t xml:space="preserve">Knapsack / Subset DP</t>
  </si>
  <si>
    <t xml:space="preserve">https://leetcode.com/problems/partition-equal-subset-sum/</t>
  </si>
  <si>
    <t xml:space="preserve">https://leetcode.com/problems/target-sum/</t>
  </si>
  <si>
    <t xml:space="preserve">https://leetcode.com/problems/coin-change-ii/</t>
  </si>
  <si>
    <t xml:space="preserve">https://leetcode.com/problems/ones-and-zeroes/</t>
  </si>
  <si>
    <t xml:space="preserve">https://leetcode.com/problems/last-stone-weight-ii/</t>
  </si>
  <si>
    <t xml:space="preserve">https://leetcode.com/problems/profitable-schemes/</t>
  </si>
  <si>
    <t xml:space="preserve">Grid DP</t>
  </si>
  <si>
    <t xml:space="preserve">https://leetcode.com/problems/unique-paths/</t>
  </si>
  <si>
    <t xml:space="preserve">https://leetcode.com/problems/unique-paths-ii/</t>
  </si>
  <si>
    <t xml:space="preserve">https://leetcode.com/problems/minimum-path-sum/</t>
  </si>
  <si>
    <t xml:space="preserve">https://leetcode.com/problems/maximal-square/</t>
  </si>
  <si>
    <t xml:space="preserve">https://leetcode.com/problems/minimum-falling-path-sum/</t>
  </si>
  <si>
    <t xml:space="preserve">https://leetcode.com/problems/triangle/</t>
  </si>
  <si>
    <t xml:space="preserve">String DP / Sequence DP</t>
  </si>
  <si>
    <t xml:space="preserve">https://leetcode.com/problems/longest-common-subsequence/</t>
  </si>
  <si>
    <t xml:space="preserve">https://leetcode.com/problems/edit-distance/</t>
  </si>
  <si>
    <t xml:space="preserve">https://leetcode.com/problems/distinct-subsequences/</t>
  </si>
  <si>
    <t xml:space="preserve">https://leetcode.com/problems/delete-operation-for-two-strings/</t>
  </si>
  <si>
    <t xml:space="preserve">https://leetcode.com/problems/interleaving-string/</t>
  </si>
  <si>
    <t xml:space="preserve">https://leetcode.com/problems/minimum-insertion-steps-to-make-a-string-palindrome/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</si>
</sst>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u val="single"/>
      <sz val="11"/>
      <color rgb="FF1D4ED8"/>
      <name val="Calibri"/>
      <family val="0"/>
      <charset val="1"/>
    </font>
    <font>
      <u val="single"/>
      <sz val="11"/>
      <color rgb="FF1D4ED8"/>
      <name val="Calibri"/>
      <family val="0"/>
      <charset val="1"/>
    </font>
    <font>
      <b val="true"/>
      <sz val="10"/>
      <color rgb="FF9A3412"/>
      <name val="Calibri"/>
      <family val="0"/>
      <charset val="1"/>
    </font>
    <font>
      <sz val="9"/>
      <color rgb="FF6B728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i val="true"/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FF"/>
        <bgColor rgb="FFF9FAFB"/>
      </patternFill>
    </fill>
    <fill>
      <patternFill patternType="solid">
        <fgColor rgb="FFFFEDD5"/>
        <bgColor rgb="FFFEE2E2"/>
      </patternFill>
    </fill>
    <fill>
      <patternFill patternType="solid">
        <fgColor rgb="FF3FAF46"/>
        <bgColor rgb="FF33CCCC"/>
      </patternFill>
    </fill>
    <fill>
      <patternFill patternType="solid">
        <fgColor rgb="FFF9FAFB"/>
        <bgColor rgb="FFFFFFFF"/>
      </patternFill>
    </fill>
    <fill>
      <patternFill patternType="solid">
        <fgColor rgb="FFFEE2E2"/>
        <bgColor rgb="FFFFEDD5"/>
      </patternFill>
    </fill>
    <fill>
      <patternFill patternType="solid">
        <fgColor rgb="FFDCFCE7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ill>
        <patternFill patternType="solid">
          <fgColor rgb="FF3FAF46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DD5"/>
      <rgbColor rgb="FFDCFCE7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F9FAF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FAF46"/>
      <rgbColor rgb="FF003300"/>
      <rgbColor rgb="FF333300"/>
      <rgbColor rgb="FF9A341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longest-substring-without-repeating-characters/" TargetMode="External"/><Relationship Id="rId2" Type="http://schemas.openxmlformats.org/officeDocument/2006/relationships/hyperlink" Target="https://leetcode.com/problems/longest-substring-without-repeating-characters/" TargetMode="External"/><Relationship Id="rId3" Type="http://schemas.openxmlformats.org/officeDocument/2006/relationships/hyperlink" Target="https://leetcode.com/problems/minimum-window-substring/" TargetMode="External"/><Relationship Id="rId4" Type="http://schemas.openxmlformats.org/officeDocument/2006/relationships/hyperlink" Target="https://leetcode.com/problems/minimum-window-substring/" TargetMode="External"/><Relationship Id="rId5" Type="http://schemas.openxmlformats.org/officeDocument/2006/relationships/hyperlink" Target="https://leetcode.com/problems/minimum-size-subarray-sum/" TargetMode="External"/><Relationship Id="rId6" Type="http://schemas.openxmlformats.org/officeDocument/2006/relationships/hyperlink" Target="https://leetcode.com/problems/minimum-size-subarray-sum/" TargetMode="External"/><Relationship Id="rId7" Type="http://schemas.openxmlformats.org/officeDocument/2006/relationships/hyperlink" Target="https://leetcode.com/problems/longest-repeating-character-replacement/" TargetMode="External"/><Relationship Id="rId8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permutation-in-string/" TargetMode="External"/><Relationship Id="rId10" Type="http://schemas.openxmlformats.org/officeDocument/2006/relationships/hyperlink" Target="https://leetcode.com/problems/permutation-in-string/" TargetMode="External"/><Relationship Id="rId11" Type="http://schemas.openxmlformats.org/officeDocument/2006/relationships/hyperlink" Target="https://leetcode.com/problems/fruit-into-baskets/" TargetMode="External"/><Relationship Id="rId12" Type="http://schemas.openxmlformats.org/officeDocument/2006/relationships/hyperlink" Target="https://leetcode.com/problems/fruit-into-baskets/" TargetMode="External"/><Relationship Id="rId13" Type="http://schemas.openxmlformats.org/officeDocument/2006/relationships/hyperlink" Target="https://leetcode.com/problems/container-with-most-water/" TargetMode="External"/><Relationship Id="rId14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leetcode.com/problems/3sum/" TargetMode="External"/><Relationship Id="rId16" Type="http://schemas.openxmlformats.org/officeDocument/2006/relationships/hyperlink" Target="https://leetcode.com/problems/3sum/" TargetMode="External"/><Relationship Id="rId17" Type="http://schemas.openxmlformats.org/officeDocument/2006/relationships/hyperlink" Target="https://leetcode.com/problems/3sum-closest/" TargetMode="External"/><Relationship Id="rId18" Type="http://schemas.openxmlformats.org/officeDocument/2006/relationships/hyperlink" Target="https://leetcode.com/problems/3sum-closest/" TargetMode="External"/><Relationship Id="rId19" Type="http://schemas.openxmlformats.org/officeDocument/2006/relationships/hyperlink" Target="https://leetcode.com/problems/4sum/" TargetMode="External"/><Relationship Id="rId20" Type="http://schemas.openxmlformats.org/officeDocument/2006/relationships/hyperlink" Target="https://leetcode.com/problems/4sum/" TargetMode="External"/><Relationship Id="rId21" Type="http://schemas.openxmlformats.org/officeDocument/2006/relationships/hyperlink" Target="https://leetcode.com/problems/trapping-rain-water/" TargetMode="External"/><Relationship Id="rId22" Type="http://schemas.openxmlformats.org/officeDocument/2006/relationships/hyperlink" Target="https://leetcode.com/problems/trapping-rain-water/" TargetMode="External"/><Relationship Id="rId23" Type="http://schemas.openxmlformats.org/officeDocument/2006/relationships/hyperlink" Target="https://leetcode.com/problems/two-sum-ii-input-array-is-sorted/" TargetMode="External"/><Relationship Id="rId24" Type="http://schemas.openxmlformats.org/officeDocument/2006/relationships/hyperlink" Target="https://leetcode.com/problems/two-sum-ii-input-array-is-sorted/" TargetMode="External"/><Relationship Id="rId25" Type="http://schemas.openxmlformats.org/officeDocument/2006/relationships/hyperlink" Target="https://leetcode.com/problems/linked-list-cycle/" TargetMode="External"/><Relationship Id="rId26" Type="http://schemas.openxmlformats.org/officeDocument/2006/relationships/hyperlink" Target="https://leetcode.com/problems/linked-list-cycle/" TargetMode="External"/><Relationship Id="rId27" Type="http://schemas.openxmlformats.org/officeDocument/2006/relationships/hyperlink" Target="https://leetcode.com/problems/linked-list-cycle-ii/" TargetMode="External"/><Relationship Id="rId28" Type="http://schemas.openxmlformats.org/officeDocument/2006/relationships/hyperlink" Target="https://leetcode.com/problems/linked-list-cycle-ii/" TargetMode="External"/><Relationship Id="rId29" Type="http://schemas.openxmlformats.org/officeDocument/2006/relationships/hyperlink" Target="https://leetcode.com/problems/remove-nth-node-from-end-of-list/" TargetMode="External"/><Relationship Id="rId30" Type="http://schemas.openxmlformats.org/officeDocument/2006/relationships/hyperlink" Target="https://leetcode.com/problems/remove-nth-node-from-end-of-list/" TargetMode="External"/><Relationship Id="rId31" Type="http://schemas.openxmlformats.org/officeDocument/2006/relationships/hyperlink" Target="https://leetcode.com/problems/middle-of-the-linked-list/" TargetMode="External"/><Relationship Id="rId32" Type="http://schemas.openxmlformats.org/officeDocument/2006/relationships/hyperlink" Target="https://leetcode.com/problems/middle-of-the-linked-list/" TargetMode="External"/><Relationship Id="rId33" Type="http://schemas.openxmlformats.org/officeDocument/2006/relationships/hyperlink" Target="https://leetcode.com/problems/intersection-of-two-linked-lists/" TargetMode="External"/><Relationship Id="rId34" Type="http://schemas.openxmlformats.org/officeDocument/2006/relationships/hyperlink" Target="https://leetcode.com/problems/intersection-of-two-linked-lists/" TargetMode="External"/><Relationship Id="rId35" Type="http://schemas.openxmlformats.org/officeDocument/2006/relationships/hyperlink" Target="https://leetcode.com/problems/palindrome-linked-list/" TargetMode="External"/><Relationship Id="rId36" Type="http://schemas.openxmlformats.org/officeDocument/2006/relationships/hyperlink" Target="https://leetcode.com/problems/palindrome-linked-list/" TargetMode="External"/><Relationship Id="rId37" Type="http://schemas.openxmlformats.org/officeDocument/2006/relationships/hyperlink" Target="https://leetcode.com/problems/search-in-rotated-sorted-array/" TargetMode="External"/><Relationship Id="rId38" Type="http://schemas.openxmlformats.org/officeDocument/2006/relationships/hyperlink" Target="https://leetcode.com/problems/search-in-rotated-sorted-array/" TargetMode="External"/><Relationship Id="rId39" Type="http://schemas.openxmlformats.org/officeDocument/2006/relationships/hyperlink" Target="https://leetcode.com/problems/find-first-and-last-position-of-element-in-sorted-array/" TargetMode="External"/><Relationship Id="rId40" Type="http://schemas.openxmlformats.org/officeDocument/2006/relationships/hyperlink" Target="https://leetcode.com/problems/find-first-and-last-position-of-element-in-sorted-array/" TargetMode="External"/><Relationship Id="rId41" Type="http://schemas.openxmlformats.org/officeDocument/2006/relationships/hyperlink" Target="https://leetcode.com/problems/search-insert-position/" TargetMode="External"/><Relationship Id="rId42" Type="http://schemas.openxmlformats.org/officeDocument/2006/relationships/hyperlink" Target="https://leetcode.com/problems/search-insert-position/" TargetMode="External"/><Relationship Id="rId43" Type="http://schemas.openxmlformats.org/officeDocument/2006/relationships/hyperlink" Target="https://leetcode.com/problems/find-minimum-in-rotated-sorted-array/" TargetMode="External"/><Relationship Id="rId44" Type="http://schemas.openxmlformats.org/officeDocument/2006/relationships/hyperlink" Target="https://leetcode.com/problems/find-minimum-in-rotated-sorted-array/" TargetMode="External"/><Relationship Id="rId45" Type="http://schemas.openxmlformats.org/officeDocument/2006/relationships/hyperlink" Target="https://leetcode.com/problems/find-peak-element/" TargetMode="External"/><Relationship Id="rId46" Type="http://schemas.openxmlformats.org/officeDocument/2006/relationships/hyperlink" Target="https://leetcode.com/problems/find-peak-element/" TargetMode="External"/><Relationship Id="rId47" Type="http://schemas.openxmlformats.org/officeDocument/2006/relationships/hyperlink" Target="https://leetcode.com/problems/binary-search/" TargetMode="External"/><Relationship Id="rId48" Type="http://schemas.openxmlformats.org/officeDocument/2006/relationships/hyperlink" Target="https://leetcode.com/problems/binary-search/" TargetMode="External"/><Relationship Id="rId49" Type="http://schemas.openxmlformats.org/officeDocument/2006/relationships/hyperlink" Target="https://leetcode.com/problems/koko-eating-bananas/" TargetMode="External"/><Relationship Id="rId50" Type="http://schemas.openxmlformats.org/officeDocument/2006/relationships/hyperlink" Target="https://leetcode.com/problems/koko-eating-bananas/" TargetMode="External"/><Relationship Id="rId51" Type="http://schemas.openxmlformats.org/officeDocument/2006/relationships/hyperlink" Target="https://leetcode.com/problems/capacity-to-ship-packages-within-d-days/" TargetMode="External"/><Relationship Id="rId52" Type="http://schemas.openxmlformats.org/officeDocument/2006/relationships/hyperlink" Target="https://leetcode.com/problems/capacity-to-ship-packages-within-d-days/" TargetMode="External"/><Relationship Id="rId53" Type="http://schemas.openxmlformats.org/officeDocument/2006/relationships/hyperlink" Target="https://leetcode.com/problems/split-array-largest-sum/" TargetMode="External"/><Relationship Id="rId54" Type="http://schemas.openxmlformats.org/officeDocument/2006/relationships/hyperlink" Target="https://leetcode.com/problems/split-array-largest-sum/" TargetMode="External"/><Relationship Id="rId55" Type="http://schemas.openxmlformats.org/officeDocument/2006/relationships/hyperlink" Target="https://leetcode.com/problems/minimize-max-distance-to-gas-station/" TargetMode="External"/><Relationship Id="rId56" Type="http://schemas.openxmlformats.org/officeDocument/2006/relationships/hyperlink" Target="https://leetcode.com/problems/minimize-max-distance-to-gas-station/" TargetMode="External"/><Relationship Id="rId57" Type="http://schemas.openxmlformats.org/officeDocument/2006/relationships/hyperlink" Target="https://leetcode.com/problems/find-the-smallest-divisor-given-a-threshold/" TargetMode="External"/><Relationship Id="rId58" Type="http://schemas.openxmlformats.org/officeDocument/2006/relationships/hyperlink" Target="https://leetcode.com/problems/find-the-smallest-divisor-given-a-threshold/" TargetMode="External"/><Relationship Id="rId59" Type="http://schemas.openxmlformats.org/officeDocument/2006/relationships/hyperlink" Target="https://leetcode.com/problems/minimum-number-of-days-to-make-m-bouquets/" TargetMode="External"/><Relationship Id="rId60" Type="http://schemas.openxmlformats.org/officeDocument/2006/relationships/hyperlink" Target="https://leetcode.com/problems/minimum-number-of-days-to-make-m-bouquets/" TargetMode="External"/><Relationship Id="rId61" Type="http://schemas.openxmlformats.org/officeDocument/2006/relationships/hyperlink" Target="https://leetcode.com/problems/two-sum/" TargetMode="External"/><Relationship Id="rId62" Type="http://schemas.openxmlformats.org/officeDocument/2006/relationships/hyperlink" Target="https://leetcode.com/problems/two-sum/" TargetMode="External"/><Relationship Id="rId63" Type="http://schemas.openxmlformats.org/officeDocument/2006/relationships/hyperlink" Target="https://leetcode.com/problems/group-anagrams/" TargetMode="External"/><Relationship Id="rId64" Type="http://schemas.openxmlformats.org/officeDocument/2006/relationships/hyperlink" Target="https://leetcode.com/problems/group-anagrams/" TargetMode="External"/><Relationship Id="rId65" Type="http://schemas.openxmlformats.org/officeDocument/2006/relationships/hyperlink" Target="https://leetcode.com/problems/longest-consecutive-sequence/" TargetMode="External"/><Relationship Id="rId66" Type="http://schemas.openxmlformats.org/officeDocument/2006/relationships/hyperlink" Target="https://leetcode.com/problems/longest-consecutive-sequence/" TargetMode="External"/><Relationship Id="rId67" Type="http://schemas.openxmlformats.org/officeDocument/2006/relationships/hyperlink" Target="https://leetcode.com/problems/contains-duplicate/" TargetMode="External"/><Relationship Id="rId68" Type="http://schemas.openxmlformats.org/officeDocument/2006/relationships/hyperlink" Target="https://leetcode.com/problems/contains-duplicate/" TargetMode="External"/><Relationship Id="rId69" Type="http://schemas.openxmlformats.org/officeDocument/2006/relationships/hyperlink" Target="https://leetcode.com/problems/valid-anagram/" TargetMode="External"/><Relationship Id="rId70" Type="http://schemas.openxmlformats.org/officeDocument/2006/relationships/hyperlink" Target="https://leetcode.com/problems/valid-anagram/" TargetMode="External"/><Relationship Id="rId71" Type="http://schemas.openxmlformats.org/officeDocument/2006/relationships/hyperlink" Target="https://leetcode.com/problems/top-k-frequent-elements/" TargetMode="External"/><Relationship Id="rId72" Type="http://schemas.openxmlformats.org/officeDocument/2006/relationships/hyperlink" Target="https://leetcode.com/problems/top-k-frequent-elements/" TargetMode="External"/><Relationship Id="rId73" Type="http://schemas.openxmlformats.org/officeDocument/2006/relationships/hyperlink" Target="https://leetcode.com/problems/range-sum-query-immutable/" TargetMode="External"/><Relationship Id="rId74" Type="http://schemas.openxmlformats.org/officeDocument/2006/relationships/hyperlink" Target="https://leetcode.com/problems/range-sum-query-immutable/" TargetMode="External"/><Relationship Id="rId75" Type="http://schemas.openxmlformats.org/officeDocument/2006/relationships/hyperlink" Target="https://leetcode.com/problems/subarray-sum-equals-k/" TargetMode="External"/><Relationship Id="rId76" Type="http://schemas.openxmlformats.org/officeDocument/2006/relationships/hyperlink" Target="https://leetcode.com/problems/subarray-sum-equals-k/" TargetMode="External"/><Relationship Id="rId77" Type="http://schemas.openxmlformats.org/officeDocument/2006/relationships/hyperlink" Target="https://leetcode.com/problems/find-pivot-index/" TargetMode="External"/><Relationship Id="rId78" Type="http://schemas.openxmlformats.org/officeDocument/2006/relationships/hyperlink" Target="https://leetcode.com/problems/find-pivot-index/" TargetMode="External"/><Relationship Id="rId79" Type="http://schemas.openxmlformats.org/officeDocument/2006/relationships/hyperlink" Target="https://leetcode.com/problems/binary-subarrays-with-sum/" TargetMode="External"/><Relationship Id="rId80" Type="http://schemas.openxmlformats.org/officeDocument/2006/relationships/hyperlink" Target="https://leetcode.com/problems/binary-subarrays-with-sum/" TargetMode="External"/><Relationship Id="rId81" Type="http://schemas.openxmlformats.org/officeDocument/2006/relationships/hyperlink" Target="https://leetcode.com/problems/subarray-sums-divisible-by-k/" TargetMode="External"/><Relationship Id="rId82" Type="http://schemas.openxmlformats.org/officeDocument/2006/relationships/hyperlink" Target="https://leetcode.com/problems/subarray-sums-divisible-by-k/" TargetMode="External"/><Relationship Id="rId83" Type="http://schemas.openxmlformats.org/officeDocument/2006/relationships/hyperlink" Target="https://leetcode.com/problems/continuous-subarray-sum/" TargetMode="External"/><Relationship Id="rId84" Type="http://schemas.openxmlformats.org/officeDocument/2006/relationships/hyperlink" Target="https://leetcode.com/problems/continuous-subarray-sum/" TargetMode="External"/><Relationship Id="rId85" Type="http://schemas.openxmlformats.org/officeDocument/2006/relationships/hyperlink" Target="https://leetcode.com/problems/range-addition/" TargetMode="External"/><Relationship Id="rId86" Type="http://schemas.openxmlformats.org/officeDocument/2006/relationships/hyperlink" Target="https://leetcode.com/problems/range-addition/" TargetMode="External"/><Relationship Id="rId87" Type="http://schemas.openxmlformats.org/officeDocument/2006/relationships/hyperlink" Target="https://leetcode.com/problems/car-pooling/" TargetMode="External"/><Relationship Id="rId88" Type="http://schemas.openxmlformats.org/officeDocument/2006/relationships/hyperlink" Target="https://leetcode.com/problems/car-pooling/" TargetMode="External"/><Relationship Id="rId89" Type="http://schemas.openxmlformats.org/officeDocument/2006/relationships/hyperlink" Target="https://leetcode.com/problems/corporate-flight-bookings/" TargetMode="External"/><Relationship Id="rId90" Type="http://schemas.openxmlformats.org/officeDocument/2006/relationships/hyperlink" Target="https://leetcode.com/problems/corporate-flight-bookings/" TargetMode="External"/><Relationship Id="rId91" Type="http://schemas.openxmlformats.org/officeDocument/2006/relationships/hyperlink" Target="https://leetcode.com/problems/check-if-all-the-integers-in-a-range-are-covered/" TargetMode="External"/><Relationship Id="rId92" Type="http://schemas.openxmlformats.org/officeDocument/2006/relationships/hyperlink" Target="https://leetcode.com/problems/check-if-all-the-integers-in-a-range-are-covered/" TargetMode="External"/><Relationship Id="rId93" Type="http://schemas.openxmlformats.org/officeDocument/2006/relationships/hyperlink" Target="https://leetcode.com/problems/describe-the-painting/" TargetMode="External"/><Relationship Id="rId94" Type="http://schemas.openxmlformats.org/officeDocument/2006/relationships/hyperlink" Target="https://leetcode.com/problems/describe-the-painting/" TargetMode="External"/><Relationship Id="rId95" Type="http://schemas.openxmlformats.org/officeDocument/2006/relationships/hyperlink" Target="https://leetcode.com/problems/shifting-letters-ii/" TargetMode="External"/><Relationship Id="rId96" Type="http://schemas.openxmlformats.org/officeDocument/2006/relationships/hyperlink" Target="https://leetcode.com/problems/shifting-letters-ii/" TargetMode="External"/><Relationship Id="rId97" Type="http://schemas.openxmlformats.org/officeDocument/2006/relationships/hyperlink" Target="https://leetcode.com/problems/daily-temperatures/" TargetMode="External"/><Relationship Id="rId98" Type="http://schemas.openxmlformats.org/officeDocument/2006/relationships/hyperlink" Target="https://leetcode.com/problems/daily-temperatures/" TargetMode="External"/><Relationship Id="rId99" Type="http://schemas.openxmlformats.org/officeDocument/2006/relationships/hyperlink" Target="https://leetcode.com/problems/next-greater-element-i/" TargetMode="External"/><Relationship Id="rId100" Type="http://schemas.openxmlformats.org/officeDocument/2006/relationships/hyperlink" Target="https://leetcode.com/problems/next-greater-element-i/" TargetMode="External"/><Relationship Id="rId101" Type="http://schemas.openxmlformats.org/officeDocument/2006/relationships/hyperlink" Target="https://leetcode.com/problems/next-greater-element-ii/" TargetMode="External"/><Relationship Id="rId102" Type="http://schemas.openxmlformats.org/officeDocument/2006/relationships/hyperlink" Target="https://leetcode.com/problems/next-greater-element-ii/" TargetMode="External"/><Relationship Id="rId103" Type="http://schemas.openxmlformats.org/officeDocument/2006/relationships/hyperlink" Target="https://leetcode.com/problems/largest-rectangle-in-histogram/" TargetMode="External"/><Relationship Id="rId104" Type="http://schemas.openxmlformats.org/officeDocument/2006/relationships/hyperlink" Target="https://leetcode.com/problems/largest-rectangle-in-histogram/" TargetMode="External"/><Relationship Id="rId105" Type="http://schemas.openxmlformats.org/officeDocument/2006/relationships/hyperlink" Target="https://leetcode.com/problems/maximal-rectangle/" TargetMode="External"/><Relationship Id="rId106" Type="http://schemas.openxmlformats.org/officeDocument/2006/relationships/hyperlink" Target="https://leetcode.com/problems/maximal-rectangle/" TargetMode="External"/><Relationship Id="rId107" Type="http://schemas.openxmlformats.org/officeDocument/2006/relationships/hyperlink" Target="https://leetcode.com/problems/online-stock-span/" TargetMode="External"/><Relationship Id="rId108" Type="http://schemas.openxmlformats.org/officeDocument/2006/relationships/hyperlink" Target="https://leetcode.com/problems/online-stock-span/" TargetMode="External"/><Relationship Id="rId109" Type="http://schemas.openxmlformats.org/officeDocument/2006/relationships/hyperlink" Target="https://leetcode.com/problems/sliding-window-maximum/" TargetMode="External"/><Relationship Id="rId110" Type="http://schemas.openxmlformats.org/officeDocument/2006/relationships/hyperlink" Target="https://leetcode.com/problems/sliding-window-maximum/" TargetMode="External"/><Relationship Id="rId111" Type="http://schemas.openxmlformats.org/officeDocument/2006/relationships/hyperlink" Target="https://leetcode.com/problems/shortest-subarray-with-sum-at-least-k/" TargetMode="External"/><Relationship Id="rId112" Type="http://schemas.openxmlformats.org/officeDocument/2006/relationships/hyperlink" Target="https://leetcode.com/problems/shortest-subarray-with-sum-at-least-k/" TargetMode="External"/><Relationship Id="rId113" Type="http://schemas.openxmlformats.org/officeDocument/2006/relationships/hyperlink" Target="https://leetcode.com/problems/constrained-subsequence-sum/" TargetMode="External"/><Relationship Id="rId114" Type="http://schemas.openxmlformats.org/officeDocument/2006/relationships/hyperlink" Target="https://leetcode.com/problems/constrained-subsequence-sum/" TargetMode="External"/><Relationship Id="rId115" Type="http://schemas.openxmlformats.org/officeDocument/2006/relationships/hyperlink" Target="https://leetcode.com/problems/longest-continuous-subarray-with-absolute-diff-less-than-or-equal-to-limit/" TargetMode="External"/><Relationship Id="rId116" Type="http://schemas.openxmlformats.org/officeDocument/2006/relationships/hyperlink" Target="https://leetcode.com/problems/longest-continuous-subarray-with-absolute-diff-less-than-or-equal-to-limit/" TargetMode="External"/><Relationship Id="rId117" Type="http://schemas.openxmlformats.org/officeDocument/2006/relationships/hyperlink" Target="https://leetcode.com/problems/max-value-of-equation/" TargetMode="External"/><Relationship Id="rId118" Type="http://schemas.openxmlformats.org/officeDocument/2006/relationships/hyperlink" Target="https://leetcode.com/problems/max-value-of-equation/" TargetMode="External"/><Relationship Id="rId119" Type="http://schemas.openxmlformats.org/officeDocument/2006/relationships/hyperlink" Target="https://leetcode.com/problems/jump-game-vi/" TargetMode="External"/><Relationship Id="rId120" Type="http://schemas.openxmlformats.org/officeDocument/2006/relationships/hyperlink" Target="https://leetcode.com/problems/jump-game-vi/" TargetMode="External"/><Relationship Id="rId121" Type="http://schemas.openxmlformats.org/officeDocument/2006/relationships/hyperlink" Target="https://leetcode.com/problems/kth-largest-element-in-an-array/" TargetMode="External"/><Relationship Id="rId122" Type="http://schemas.openxmlformats.org/officeDocument/2006/relationships/hyperlink" Target="https://leetcode.com/problems/kth-largest-element-in-an-array/" TargetMode="External"/><Relationship Id="rId123" Type="http://schemas.openxmlformats.org/officeDocument/2006/relationships/hyperlink" Target="https://leetcode.com/problems/top-k-frequent-elements/" TargetMode="External"/><Relationship Id="rId124" Type="http://schemas.openxmlformats.org/officeDocument/2006/relationships/hyperlink" Target="https://leetcode.com/problems/top-k-frequent-elements/" TargetMode="External"/><Relationship Id="rId125" Type="http://schemas.openxmlformats.org/officeDocument/2006/relationships/hyperlink" Target="https://leetcode.com/problems/top-k-frequent-words/" TargetMode="External"/><Relationship Id="rId126" Type="http://schemas.openxmlformats.org/officeDocument/2006/relationships/hyperlink" Target="https://leetcode.com/problems/top-k-frequent-words/" TargetMode="External"/><Relationship Id="rId127" Type="http://schemas.openxmlformats.org/officeDocument/2006/relationships/hyperlink" Target="https://leetcode.com/problems/kth-largest-element-in-a-stream/" TargetMode="External"/><Relationship Id="rId128" Type="http://schemas.openxmlformats.org/officeDocument/2006/relationships/hyperlink" Target="https://leetcode.com/problems/kth-largest-element-in-a-stream/" TargetMode="External"/><Relationship Id="rId129" Type="http://schemas.openxmlformats.org/officeDocument/2006/relationships/hyperlink" Target="https://leetcode.com/problems/k-closest-points-to-origin/" TargetMode="External"/><Relationship Id="rId130" Type="http://schemas.openxmlformats.org/officeDocument/2006/relationships/hyperlink" Target="https://leetcode.com/problems/k-closest-points-to-origin/" TargetMode="External"/><Relationship Id="rId131" Type="http://schemas.openxmlformats.org/officeDocument/2006/relationships/hyperlink" Target="https://leetcode.com/problems/last-stone-weight/" TargetMode="External"/><Relationship Id="rId132" Type="http://schemas.openxmlformats.org/officeDocument/2006/relationships/hyperlink" Target="https://leetcode.com/problems/last-stone-weight/" TargetMode="External"/><Relationship Id="rId133" Type="http://schemas.openxmlformats.org/officeDocument/2006/relationships/hyperlink" Target="https://leetcode.com/problems/merge-intervals/" TargetMode="External"/><Relationship Id="rId134" Type="http://schemas.openxmlformats.org/officeDocument/2006/relationships/hyperlink" Target="https://leetcode.com/problems/merge-intervals/" TargetMode="External"/><Relationship Id="rId135" Type="http://schemas.openxmlformats.org/officeDocument/2006/relationships/hyperlink" Target="https://leetcode.com/problems/insert-interval/" TargetMode="External"/><Relationship Id="rId136" Type="http://schemas.openxmlformats.org/officeDocument/2006/relationships/hyperlink" Target="https://leetcode.com/problems/insert-interval/" TargetMode="External"/><Relationship Id="rId137" Type="http://schemas.openxmlformats.org/officeDocument/2006/relationships/hyperlink" Target="https://leetcode.com/problems/meeting-rooms/" TargetMode="External"/><Relationship Id="rId138" Type="http://schemas.openxmlformats.org/officeDocument/2006/relationships/hyperlink" Target="https://leetcode.com/problems/meeting-rooms/" TargetMode="External"/><Relationship Id="rId139" Type="http://schemas.openxmlformats.org/officeDocument/2006/relationships/hyperlink" Target="https://leetcode.com/problems/meeting-rooms-ii/" TargetMode="External"/><Relationship Id="rId140" Type="http://schemas.openxmlformats.org/officeDocument/2006/relationships/hyperlink" Target="https://leetcode.com/problems/meeting-rooms-ii/" TargetMode="External"/><Relationship Id="rId141" Type="http://schemas.openxmlformats.org/officeDocument/2006/relationships/hyperlink" Target="https://leetcode.com/problems/non-overlapping-intervals/" TargetMode="External"/><Relationship Id="rId142" Type="http://schemas.openxmlformats.org/officeDocument/2006/relationships/hyperlink" Target="https://leetcode.com/problems/non-overlapping-intervals/" TargetMode="External"/><Relationship Id="rId143" Type="http://schemas.openxmlformats.org/officeDocument/2006/relationships/hyperlink" Target="https://leetcode.com/problems/minimum-number-of-arrows-to-burst-balloons/" TargetMode="External"/><Relationship Id="rId144" Type="http://schemas.openxmlformats.org/officeDocument/2006/relationships/hyperlink" Target="https://leetcode.com/problems/minimum-number-of-arrows-to-burst-balloons/" TargetMode="External"/><Relationship Id="rId145" Type="http://schemas.openxmlformats.org/officeDocument/2006/relationships/hyperlink" Target="https://leetcode.com/problems/jump-game-ii/" TargetMode="External"/><Relationship Id="rId146" Type="http://schemas.openxmlformats.org/officeDocument/2006/relationships/hyperlink" Target="https://leetcode.com/problems/jump-game-ii/" TargetMode="External"/><Relationship Id="rId147" Type="http://schemas.openxmlformats.org/officeDocument/2006/relationships/hyperlink" Target="https://leetcode.com/problems/jump-game/" TargetMode="External"/><Relationship Id="rId148" Type="http://schemas.openxmlformats.org/officeDocument/2006/relationships/hyperlink" Target="https://leetcode.com/problems/jump-game/" TargetMode="External"/><Relationship Id="rId149" Type="http://schemas.openxmlformats.org/officeDocument/2006/relationships/hyperlink" Target="https://leetcode.com/problems/queue-reconstruction-by-height/" TargetMode="External"/><Relationship Id="rId150" Type="http://schemas.openxmlformats.org/officeDocument/2006/relationships/hyperlink" Target="https://leetcode.com/problems/queue-reconstruction-by-height/" TargetMode="External"/><Relationship Id="rId151" Type="http://schemas.openxmlformats.org/officeDocument/2006/relationships/hyperlink" Target="https://leetcode.com/problems/task-scheduler/" TargetMode="External"/><Relationship Id="rId152" Type="http://schemas.openxmlformats.org/officeDocument/2006/relationships/hyperlink" Target="https://leetcode.com/problems/task-scheduler/" TargetMode="External"/><Relationship Id="rId153" Type="http://schemas.openxmlformats.org/officeDocument/2006/relationships/hyperlink" Target="https://leetcode.com/problems/partition-labels/" TargetMode="External"/><Relationship Id="rId154" Type="http://schemas.openxmlformats.org/officeDocument/2006/relationships/hyperlink" Target="https://leetcode.com/problems/partition-labels/" TargetMode="External"/><Relationship Id="rId155" Type="http://schemas.openxmlformats.org/officeDocument/2006/relationships/hyperlink" Target="https://leetcode.com/problems/gas-station/" TargetMode="External"/><Relationship Id="rId156" Type="http://schemas.openxmlformats.org/officeDocument/2006/relationships/hyperlink" Target="https://leetcode.com/problems/gas-station/" TargetMode="External"/><Relationship Id="rId157" Type="http://schemas.openxmlformats.org/officeDocument/2006/relationships/hyperlink" Target="https://leetcode.com/problems/merge-two-sorted-lists/" TargetMode="External"/><Relationship Id="rId158" Type="http://schemas.openxmlformats.org/officeDocument/2006/relationships/hyperlink" Target="https://leetcode.com/problems/merge-two-sorted-lists/" TargetMode="External"/><Relationship Id="rId159" Type="http://schemas.openxmlformats.org/officeDocument/2006/relationships/hyperlink" Target="https://leetcode.com/problems/merge-k-sorted-lists/" TargetMode="External"/><Relationship Id="rId160" Type="http://schemas.openxmlformats.org/officeDocument/2006/relationships/hyperlink" Target="https://leetcode.com/problems/merge-k-sorted-lists/" TargetMode="External"/><Relationship Id="rId161" Type="http://schemas.openxmlformats.org/officeDocument/2006/relationships/hyperlink" Target="https://leetcode.com/problems/swap-nodes-in-pairs/" TargetMode="External"/><Relationship Id="rId162" Type="http://schemas.openxmlformats.org/officeDocument/2006/relationships/hyperlink" Target="https://leetcode.com/problems/swap-nodes-in-pairs/" TargetMode="External"/><Relationship Id="rId163" Type="http://schemas.openxmlformats.org/officeDocument/2006/relationships/hyperlink" Target="https://leetcode.com/problems/reverse-nodes-in-k-group/" TargetMode="External"/><Relationship Id="rId164" Type="http://schemas.openxmlformats.org/officeDocument/2006/relationships/hyperlink" Target="https://leetcode.com/problems/reverse-nodes-in-k-group/" TargetMode="External"/><Relationship Id="rId165" Type="http://schemas.openxmlformats.org/officeDocument/2006/relationships/hyperlink" Target="https://leetcode.com/problems/reverse-linked-list-ii/" TargetMode="External"/><Relationship Id="rId166" Type="http://schemas.openxmlformats.org/officeDocument/2006/relationships/hyperlink" Target="https://leetcode.com/problems/reverse-linked-list-ii/" TargetMode="External"/><Relationship Id="rId167" Type="http://schemas.openxmlformats.org/officeDocument/2006/relationships/hyperlink" Target="https://leetcode.com/problems/copy-list-with-random-pointer/" TargetMode="External"/><Relationship Id="rId168" Type="http://schemas.openxmlformats.org/officeDocument/2006/relationships/hyperlink" Target="https://leetcode.com/problems/copy-list-with-random-pointer/" TargetMode="External"/><Relationship Id="rId169" Type="http://schemas.openxmlformats.org/officeDocument/2006/relationships/hyperlink" Target="https://leetcode.com/problems/maximum-depth-of-binary-tree/" TargetMode="External"/><Relationship Id="rId170" Type="http://schemas.openxmlformats.org/officeDocument/2006/relationships/hyperlink" Target="https://leetcode.com/problems/maximum-depth-of-binary-tree/" TargetMode="External"/><Relationship Id="rId171" Type="http://schemas.openxmlformats.org/officeDocument/2006/relationships/hyperlink" Target="https://leetcode.com/problems/path-sum/" TargetMode="External"/><Relationship Id="rId172" Type="http://schemas.openxmlformats.org/officeDocument/2006/relationships/hyperlink" Target="https://leetcode.com/problems/path-sum/" TargetMode="External"/><Relationship Id="rId173" Type="http://schemas.openxmlformats.org/officeDocument/2006/relationships/hyperlink" Target="https://leetcode.com/problems/path-sum-ii/" TargetMode="External"/><Relationship Id="rId174" Type="http://schemas.openxmlformats.org/officeDocument/2006/relationships/hyperlink" Target="https://leetcode.com/problems/path-sum-ii/" TargetMode="External"/><Relationship Id="rId175" Type="http://schemas.openxmlformats.org/officeDocument/2006/relationships/hyperlink" Target="https://leetcode.com/problems/diameter-of-binary-tree/" TargetMode="External"/><Relationship Id="rId176" Type="http://schemas.openxmlformats.org/officeDocument/2006/relationships/hyperlink" Target="https://leetcode.com/problems/diameter-of-binary-tree/" TargetMode="External"/><Relationship Id="rId177" Type="http://schemas.openxmlformats.org/officeDocument/2006/relationships/hyperlink" Target="https://leetcode.com/problems/binary-tree-maximum-path-sum/" TargetMode="External"/><Relationship Id="rId178" Type="http://schemas.openxmlformats.org/officeDocument/2006/relationships/hyperlink" Target="https://leetcode.com/problems/binary-tree-maximum-path-sum/" TargetMode="External"/><Relationship Id="rId179" Type="http://schemas.openxmlformats.org/officeDocument/2006/relationships/hyperlink" Target="https://leetcode.com/problems/invert-binary-tree/" TargetMode="External"/><Relationship Id="rId180" Type="http://schemas.openxmlformats.org/officeDocument/2006/relationships/hyperlink" Target="https://leetcode.com/problems/invert-binary-tree/" TargetMode="External"/><Relationship Id="rId181" Type="http://schemas.openxmlformats.org/officeDocument/2006/relationships/hyperlink" Target="https://leetcode.com/problems/binary-tree-level-order-traversal/" TargetMode="External"/><Relationship Id="rId182" Type="http://schemas.openxmlformats.org/officeDocument/2006/relationships/hyperlink" Target="https://leetcode.com/problems/binary-tree-level-order-traversal/" TargetMode="External"/><Relationship Id="rId183" Type="http://schemas.openxmlformats.org/officeDocument/2006/relationships/hyperlink" Target="https://leetcode.com/problems/binary-tree-zigzag-level-order-traversal/" TargetMode="External"/><Relationship Id="rId184" Type="http://schemas.openxmlformats.org/officeDocument/2006/relationships/hyperlink" Target="https://leetcode.com/problems/binary-tree-zigzag-level-order-traversal/" TargetMode="External"/><Relationship Id="rId185" Type="http://schemas.openxmlformats.org/officeDocument/2006/relationships/hyperlink" Target="https://leetcode.com/problems/binary-tree-right-side-view/" TargetMode="External"/><Relationship Id="rId186" Type="http://schemas.openxmlformats.org/officeDocument/2006/relationships/hyperlink" Target="https://leetcode.com/problems/binary-tree-right-side-view/" TargetMode="External"/><Relationship Id="rId187" Type="http://schemas.openxmlformats.org/officeDocument/2006/relationships/hyperlink" Target="https://leetcode.com/problems/find-largest-value-in-each-tree-row/" TargetMode="External"/><Relationship Id="rId188" Type="http://schemas.openxmlformats.org/officeDocument/2006/relationships/hyperlink" Target="https://leetcode.com/problems/find-largest-value-in-each-tree-row/" TargetMode="External"/><Relationship Id="rId189" Type="http://schemas.openxmlformats.org/officeDocument/2006/relationships/hyperlink" Target="https://leetcode.com/problems/average-of-levels-in-binary-tree/" TargetMode="External"/><Relationship Id="rId190" Type="http://schemas.openxmlformats.org/officeDocument/2006/relationships/hyperlink" Target="https://leetcode.com/problems/average-of-levels-in-binary-tree/" TargetMode="External"/><Relationship Id="rId191" Type="http://schemas.openxmlformats.org/officeDocument/2006/relationships/hyperlink" Target="https://leetcode.com/problems/populating-next-right-pointers-in-each-node/" TargetMode="External"/><Relationship Id="rId192" Type="http://schemas.openxmlformats.org/officeDocument/2006/relationships/hyperlink" Target="https://leetcode.com/problems/populating-next-right-pointers-in-each-node/" TargetMode="External"/><Relationship Id="rId193" Type="http://schemas.openxmlformats.org/officeDocument/2006/relationships/hyperlink" Target="https://leetcode.com/problems/validate-binary-search-tree/" TargetMode="External"/><Relationship Id="rId194" Type="http://schemas.openxmlformats.org/officeDocument/2006/relationships/hyperlink" Target="https://leetcode.com/problems/validate-binary-search-tree/" TargetMode="External"/><Relationship Id="rId195" Type="http://schemas.openxmlformats.org/officeDocument/2006/relationships/hyperlink" Target="https://leetcode.com/problems/recover-binary-search-tree/" TargetMode="External"/><Relationship Id="rId196" Type="http://schemas.openxmlformats.org/officeDocument/2006/relationships/hyperlink" Target="https://leetcode.com/problems/recover-binary-search-tree/" TargetMode="External"/><Relationship Id="rId197" Type="http://schemas.openxmlformats.org/officeDocument/2006/relationships/hyperlink" Target="https://leetcode.com/problems/kth-smallest-element-in-a-bst/" TargetMode="External"/><Relationship Id="rId198" Type="http://schemas.openxmlformats.org/officeDocument/2006/relationships/hyperlink" Target="https://leetcode.com/problems/kth-smallest-element-in-a-bst/" TargetMode="External"/><Relationship Id="rId199" Type="http://schemas.openxmlformats.org/officeDocument/2006/relationships/hyperlink" Target="https://leetcode.com/problems/lowest-common-ancestor-of-a-binary-search-tree/" TargetMode="External"/><Relationship Id="rId200" Type="http://schemas.openxmlformats.org/officeDocument/2006/relationships/hyperlink" Target="https://leetcode.com/problems/lowest-common-ancestor-of-a-binary-search-tree/" TargetMode="External"/><Relationship Id="rId201" Type="http://schemas.openxmlformats.org/officeDocument/2006/relationships/hyperlink" Target="https://leetcode.com/problems/delete-node-in-a-bst/" TargetMode="External"/><Relationship Id="rId202" Type="http://schemas.openxmlformats.org/officeDocument/2006/relationships/hyperlink" Target="https://leetcode.com/problems/delete-node-in-a-bst/" TargetMode="External"/><Relationship Id="rId203" Type="http://schemas.openxmlformats.org/officeDocument/2006/relationships/hyperlink" Target="https://leetcode.com/problems/search-in-a-binary-search-tree/" TargetMode="External"/><Relationship Id="rId204" Type="http://schemas.openxmlformats.org/officeDocument/2006/relationships/hyperlink" Target="https://leetcode.com/problems/search-in-a-binary-search-tree/" TargetMode="External"/><Relationship Id="rId205" Type="http://schemas.openxmlformats.org/officeDocument/2006/relationships/hyperlink" Target="https://leetcode.com/problems/permutations/" TargetMode="External"/><Relationship Id="rId206" Type="http://schemas.openxmlformats.org/officeDocument/2006/relationships/hyperlink" Target="https://leetcode.com/problems/permutations/" TargetMode="External"/><Relationship Id="rId207" Type="http://schemas.openxmlformats.org/officeDocument/2006/relationships/hyperlink" Target="https://leetcode.com/problems/permutations-ii/" TargetMode="External"/><Relationship Id="rId208" Type="http://schemas.openxmlformats.org/officeDocument/2006/relationships/hyperlink" Target="https://leetcode.com/problems/permutations-ii/" TargetMode="External"/><Relationship Id="rId209" Type="http://schemas.openxmlformats.org/officeDocument/2006/relationships/hyperlink" Target="https://leetcode.com/problems/combinations/" TargetMode="External"/><Relationship Id="rId210" Type="http://schemas.openxmlformats.org/officeDocument/2006/relationships/hyperlink" Target="https://leetcode.com/problems/combinations/" TargetMode="External"/><Relationship Id="rId211" Type="http://schemas.openxmlformats.org/officeDocument/2006/relationships/hyperlink" Target="https://leetcode.com/problems/subsets/" TargetMode="External"/><Relationship Id="rId212" Type="http://schemas.openxmlformats.org/officeDocument/2006/relationships/hyperlink" Target="https://leetcode.com/problems/subsets/" TargetMode="External"/><Relationship Id="rId213" Type="http://schemas.openxmlformats.org/officeDocument/2006/relationships/hyperlink" Target="https://leetcode.com/problems/subsets-ii/" TargetMode="External"/><Relationship Id="rId214" Type="http://schemas.openxmlformats.org/officeDocument/2006/relationships/hyperlink" Target="https://leetcode.com/problems/subsets-ii/" TargetMode="External"/><Relationship Id="rId215" Type="http://schemas.openxmlformats.org/officeDocument/2006/relationships/hyperlink" Target="https://leetcode.com/problems/combination-sum/" TargetMode="External"/><Relationship Id="rId216" Type="http://schemas.openxmlformats.org/officeDocument/2006/relationships/hyperlink" Target="https://leetcode.com/problems/combination-sum/" TargetMode="External"/><Relationship Id="rId217" Type="http://schemas.openxmlformats.org/officeDocument/2006/relationships/hyperlink" Target="https://leetcode.com/problems/combination-sum-ii/" TargetMode="External"/><Relationship Id="rId218" Type="http://schemas.openxmlformats.org/officeDocument/2006/relationships/hyperlink" Target="https://leetcode.com/problems/combination-sum-ii/" TargetMode="External"/><Relationship Id="rId219" Type="http://schemas.openxmlformats.org/officeDocument/2006/relationships/hyperlink" Target="https://leetcode.com/problems/letter-combinations-of-a-phone-number/" TargetMode="External"/><Relationship Id="rId220" Type="http://schemas.openxmlformats.org/officeDocument/2006/relationships/hyperlink" Target="https://leetcode.com/problems/letter-combinations-of-a-phone-number/" TargetMode="External"/><Relationship Id="rId221" Type="http://schemas.openxmlformats.org/officeDocument/2006/relationships/hyperlink" Target="https://leetcode.com/problems/word-search/" TargetMode="External"/><Relationship Id="rId222" Type="http://schemas.openxmlformats.org/officeDocument/2006/relationships/hyperlink" Target="https://leetcode.com/problems/word-search/" TargetMode="External"/><Relationship Id="rId223" Type="http://schemas.openxmlformats.org/officeDocument/2006/relationships/hyperlink" Target="https://leetcode.com/problems/palindrome-partitioning/" TargetMode="External"/><Relationship Id="rId224" Type="http://schemas.openxmlformats.org/officeDocument/2006/relationships/hyperlink" Target="https://leetcode.com/problems/palindrome-partitioning/" TargetMode="External"/><Relationship Id="rId225" Type="http://schemas.openxmlformats.org/officeDocument/2006/relationships/hyperlink" Target="https://leetcode.com/problems/n-queens/" TargetMode="External"/><Relationship Id="rId226" Type="http://schemas.openxmlformats.org/officeDocument/2006/relationships/hyperlink" Target="https://leetcode.com/problems/n-queens/" TargetMode="External"/><Relationship Id="rId227" Type="http://schemas.openxmlformats.org/officeDocument/2006/relationships/hyperlink" Target="https://leetcode.com/problems/n-queens-ii/" TargetMode="External"/><Relationship Id="rId228" Type="http://schemas.openxmlformats.org/officeDocument/2006/relationships/hyperlink" Target="https://leetcode.com/problems/n-queens-ii/" TargetMode="External"/><Relationship Id="rId229" Type="http://schemas.openxmlformats.org/officeDocument/2006/relationships/hyperlink" Target="https://leetcode.com/problems/number-of-islands/" TargetMode="External"/><Relationship Id="rId230" Type="http://schemas.openxmlformats.org/officeDocument/2006/relationships/hyperlink" Target="https://leetcode.com/problems/number-of-islands/" TargetMode="External"/><Relationship Id="rId231" Type="http://schemas.openxmlformats.org/officeDocument/2006/relationships/hyperlink" Target="https://leetcode.com/problems/max-area-of-island/" TargetMode="External"/><Relationship Id="rId232" Type="http://schemas.openxmlformats.org/officeDocument/2006/relationships/hyperlink" Target="https://leetcode.com/problems/max-area-of-island/" TargetMode="External"/><Relationship Id="rId233" Type="http://schemas.openxmlformats.org/officeDocument/2006/relationships/hyperlink" Target="https://leetcode.com/problems/flood-fill/" TargetMode="External"/><Relationship Id="rId234" Type="http://schemas.openxmlformats.org/officeDocument/2006/relationships/hyperlink" Target="https://leetcode.com/problems/flood-fill/" TargetMode="External"/><Relationship Id="rId235" Type="http://schemas.openxmlformats.org/officeDocument/2006/relationships/hyperlink" Target="https://leetcode.com/problems/rotting-oranges/" TargetMode="External"/><Relationship Id="rId236" Type="http://schemas.openxmlformats.org/officeDocument/2006/relationships/hyperlink" Target="https://leetcode.com/problems/rotting-oranges/" TargetMode="External"/><Relationship Id="rId237" Type="http://schemas.openxmlformats.org/officeDocument/2006/relationships/hyperlink" Target="https://leetcode.com/problems/shortest-path-in-binary-matrix/" TargetMode="External"/><Relationship Id="rId238" Type="http://schemas.openxmlformats.org/officeDocument/2006/relationships/hyperlink" Target="https://leetcode.com/problems/shortest-path-in-binary-matrix/" TargetMode="External"/><Relationship Id="rId239" Type="http://schemas.openxmlformats.org/officeDocument/2006/relationships/hyperlink" Target="https://leetcode.com/problems/number-of-closed-islands/" TargetMode="External"/><Relationship Id="rId240" Type="http://schemas.openxmlformats.org/officeDocument/2006/relationships/hyperlink" Target="https://leetcode.com/problems/number-of-closed-islands/" TargetMode="External"/><Relationship Id="rId241" Type="http://schemas.openxmlformats.org/officeDocument/2006/relationships/hyperlink" Target="https://leetcode.com/problems/course-schedule/" TargetMode="External"/><Relationship Id="rId242" Type="http://schemas.openxmlformats.org/officeDocument/2006/relationships/hyperlink" Target="https://leetcode.com/problems/course-schedule/" TargetMode="External"/><Relationship Id="rId243" Type="http://schemas.openxmlformats.org/officeDocument/2006/relationships/hyperlink" Target="https://leetcode.com/problems/course-schedule-ii/" TargetMode="External"/><Relationship Id="rId244" Type="http://schemas.openxmlformats.org/officeDocument/2006/relationships/hyperlink" Target="https://leetcode.com/problems/course-schedule-ii/" TargetMode="External"/><Relationship Id="rId245" Type="http://schemas.openxmlformats.org/officeDocument/2006/relationships/hyperlink" Target="https://leetcode.com/problems/find-eventual-safe-states/" TargetMode="External"/><Relationship Id="rId246" Type="http://schemas.openxmlformats.org/officeDocument/2006/relationships/hyperlink" Target="https://leetcode.com/problems/find-eventual-safe-states/" TargetMode="External"/><Relationship Id="rId247" Type="http://schemas.openxmlformats.org/officeDocument/2006/relationships/hyperlink" Target="https://leetcode.com/problems/course-schedule-iv/" TargetMode="External"/><Relationship Id="rId248" Type="http://schemas.openxmlformats.org/officeDocument/2006/relationships/hyperlink" Target="https://leetcode.com/problems/course-schedule-iv/" TargetMode="External"/><Relationship Id="rId249" Type="http://schemas.openxmlformats.org/officeDocument/2006/relationships/hyperlink" Target="https://leetcode.com/problems/sort-items-by-groups-respecting-dependencies/" TargetMode="External"/><Relationship Id="rId250" Type="http://schemas.openxmlformats.org/officeDocument/2006/relationships/hyperlink" Target="https://leetcode.com/problems/sort-items-by-groups-respecting-dependencies/" TargetMode="External"/><Relationship Id="rId251" Type="http://schemas.openxmlformats.org/officeDocument/2006/relationships/hyperlink" Target="https://leetcode.com/problems/find-all-possible-recipes-from-given-supplies/" TargetMode="External"/><Relationship Id="rId252" Type="http://schemas.openxmlformats.org/officeDocument/2006/relationships/hyperlink" Target="https://leetcode.com/problems/find-all-possible-recipes-from-given-supplies/" TargetMode="External"/><Relationship Id="rId253" Type="http://schemas.openxmlformats.org/officeDocument/2006/relationships/hyperlink" Target="https://leetcode.com/problems/number-of-provinces/" TargetMode="External"/><Relationship Id="rId254" Type="http://schemas.openxmlformats.org/officeDocument/2006/relationships/hyperlink" Target="https://leetcode.com/problems/number-of-provinces/" TargetMode="External"/><Relationship Id="rId255" Type="http://schemas.openxmlformats.org/officeDocument/2006/relationships/hyperlink" Target="https://leetcode.com/problems/redundant-connection/" TargetMode="External"/><Relationship Id="rId256" Type="http://schemas.openxmlformats.org/officeDocument/2006/relationships/hyperlink" Target="https://leetcode.com/problems/redundant-connection/" TargetMode="External"/><Relationship Id="rId257" Type="http://schemas.openxmlformats.org/officeDocument/2006/relationships/hyperlink" Target="https://leetcode.com/problems/number-of-operations-to-make-network-connected/" TargetMode="External"/><Relationship Id="rId258" Type="http://schemas.openxmlformats.org/officeDocument/2006/relationships/hyperlink" Target="https://leetcode.com/problems/number-of-operations-to-make-network-connected/" TargetMode="External"/><Relationship Id="rId259" Type="http://schemas.openxmlformats.org/officeDocument/2006/relationships/hyperlink" Target="https://leetcode.com/problems/remove-max-number-of-edges-to-keep-graph-fully-traversable/" TargetMode="External"/><Relationship Id="rId260" Type="http://schemas.openxmlformats.org/officeDocument/2006/relationships/hyperlink" Target="https://leetcode.com/problems/remove-max-number-of-edges-to-keep-graph-fully-traversable/" TargetMode="External"/><Relationship Id="rId261" Type="http://schemas.openxmlformats.org/officeDocument/2006/relationships/hyperlink" Target="https://leetcode.com/problems/satisfiability-of-equality-equations/" TargetMode="External"/><Relationship Id="rId262" Type="http://schemas.openxmlformats.org/officeDocument/2006/relationships/hyperlink" Target="https://leetcode.com/problems/satisfiability-of-equality-equations/" TargetMode="External"/><Relationship Id="rId263" Type="http://schemas.openxmlformats.org/officeDocument/2006/relationships/hyperlink" Target="https://leetcode.com/problems/smallest-string-with-swaps/" TargetMode="External"/><Relationship Id="rId264" Type="http://schemas.openxmlformats.org/officeDocument/2006/relationships/hyperlink" Target="https://leetcode.com/problems/smallest-string-with-swaps/" TargetMode="External"/><Relationship Id="rId265" Type="http://schemas.openxmlformats.org/officeDocument/2006/relationships/hyperlink" Target="https://leetcode.com/problems/network-delay-time/" TargetMode="External"/><Relationship Id="rId266" Type="http://schemas.openxmlformats.org/officeDocument/2006/relationships/hyperlink" Target="https://leetcode.com/problems/network-delay-time/" TargetMode="External"/><Relationship Id="rId267" Type="http://schemas.openxmlformats.org/officeDocument/2006/relationships/hyperlink" Target="https://leetcode.com/problems/cheapest-flights-within-k-stops/" TargetMode="External"/><Relationship Id="rId268" Type="http://schemas.openxmlformats.org/officeDocument/2006/relationships/hyperlink" Target="https://leetcode.com/problems/cheapest-flights-within-k-stops/" TargetMode="External"/><Relationship Id="rId269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path-with-maximum-probability/" TargetMode="External"/><Relationship Id="rId271" Type="http://schemas.openxmlformats.org/officeDocument/2006/relationships/hyperlink" Target="https://leetcode.com/problems/path-with-minimum-effort/" TargetMode="External"/><Relationship Id="rId272" Type="http://schemas.openxmlformats.org/officeDocument/2006/relationships/hyperlink" Target="https://leetcode.com/problems/path-with-minimum-effort/" TargetMode="External"/><Relationship Id="rId273" Type="http://schemas.openxmlformats.org/officeDocument/2006/relationships/hyperlink" Target="https://leetcode.com/problems/find-the-city-with-the-smallest-number-of-neighbors-at-a-threshold-distance/" TargetMode="External"/><Relationship Id="rId274" Type="http://schemas.openxmlformats.org/officeDocument/2006/relationships/hyperlink" Target="https://leetcode.com/problems/find-the-city-with-the-smallest-number-of-neighbors-at-a-threshold-distance/" TargetMode="External"/><Relationship Id="rId275" Type="http://schemas.openxmlformats.org/officeDocument/2006/relationships/hyperlink" Target="https://leetcode.com/problems/number-of-ways-to-arrive-at-destination/" TargetMode="External"/><Relationship Id="rId276" Type="http://schemas.openxmlformats.org/officeDocument/2006/relationships/hyperlink" Target="https://leetcode.com/problems/number-of-ways-to-arrive-at-destination/" TargetMode="External"/><Relationship Id="rId277" Type="http://schemas.openxmlformats.org/officeDocument/2006/relationships/hyperlink" Target="https://leetcode.com/problems/min-cost-to-connect-all-points/" TargetMode="External"/><Relationship Id="rId278" Type="http://schemas.openxmlformats.org/officeDocument/2006/relationships/hyperlink" Target="https://leetcode.com/problems/min-cost-to-connect-all-points/" TargetMode="External"/><Relationship Id="rId279" Type="http://schemas.openxmlformats.org/officeDocument/2006/relationships/hyperlink" Target="https://leetcode.com/problems/connecting-cities-with-minimum-cost/" TargetMode="External"/><Relationship Id="rId280" Type="http://schemas.openxmlformats.org/officeDocument/2006/relationships/hyperlink" Target="https://leetcode.com/problems/connecting-cities-with-minimum-cost/" TargetMode="External"/><Relationship Id="rId281" Type="http://schemas.openxmlformats.org/officeDocument/2006/relationships/hyperlink" Target="https://leetcode.com/problems/optimize-water-distribution-in-a-village/" TargetMode="External"/><Relationship Id="rId282" Type="http://schemas.openxmlformats.org/officeDocument/2006/relationships/hyperlink" Target="https://leetcode.com/problems/optimize-water-distribution-in-a-village/" TargetMode="External"/><Relationship Id="rId283" Type="http://schemas.openxmlformats.org/officeDocument/2006/relationships/hyperlink" Target="https://leetcode.com/problems/find-critical-and-pseudo-critical-edges-in-minimum-spanning-tree/" TargetMode="External"/><Relationship Id="rId284" Type="http://schemas.openxmlformats.org/officeDocument/2006/relationships/hyperlink" Target="https://leetcode.com/problems/find-critical-and-pseudo-critical-edges-in-minimum-spanning-tree/" TargetMode="External"/><Relationship Id="rId285" Type="http://schemas.openxmlformats.org/officeDocument/2006/relationships/hyperlink" Target="https://leetcode.com/problems/swim-in-rising-water/" TargetMode="External"/><Relationship Id="rId286" Type="http://schemas.openxmlformats.org/officeDocument/2006/relationships/hyperlink" Target="https://leetcode.com/problems/swim-in-rising-water/" TargetMode="External"/><Relationship Id="rId287" Type="http://schemas.openxmlformats.org/officeDocument/2006/relationships/hyperlink" Target="https://leetcode.com/problems/path-with-maximum-minimum-value/" TargetMode="External"/><Relationship Id="rId288" Type="http://schemas.openxmlformats.org/officeDocument/2006/relationships/hyperlink" Target="https://leetcode.com/problems/path-with-maximum-minimum-value/" TargetMode="External"/><Relationship Id="rId289" Type="http://schemas.openxmlformats.org/officeDocument/2006/relationships/hyperlink" Target="https://leetcode.com/problems/implement-trie-prefix-tree/" TargetMode="External"/><Relationship Id="rId290" Type="http://schemas.openxmlformats.org/officeDocument/2006/relationships/hyperlink" Target="https://leetcode.com/problems/implement-trie-prefix-tree/" TargetMode="External"/><Relationship Id="rId291" Type="http://schemas.openxmlformats.org/officeDocument/2006/relationships/hyperlink" Target="https://leetcode.com/problems/design-add-and-search-words-data-structure/" TargetMode="External"/><Relationship Id="rId292" Type="http://schemas.openxmlformats.org/officeDocument/2006/relationships/hyperlink" Target="https://leetcode.com/problems/design-add-and-search-words-data-structure/" TargetMode="External"/><Relationship Id="rId293" Type="http://schemas.openxmlformats.org/officeDocument/2006/relationships/hyperlink" Target="https://leetcode.com/problems/word-search-ii/" TargetMode="External"/><Relationship Id="rId294" Type="http://schemas.openxmlformats.org/officeDocument/2006/relationships/hyperlink" Target="https://leetcode.com/problems/word-search-ii/" TargetMode="External"/><Relationship Id="rId295" Type="http://schemas.openxmlformats.org/officeDocument/2006/relationships/hyperlink" Target="https://leetcode.com/problems/replace-words/" TargetMode="External"/><Relationship Id="rId296" Type="http://schemas.openxmlformats.org/officeDocument/2006/relationships/hyperlink" Target="https://leetcode.com/problems/replace-words/" TargetMode="External"/><Relationship Id="rId297" Type="http://schemas.openxmlformats.org/officeDocument/2006/relationships/hyperlink" Target="https://leetcode.com/problems/map-sum-pairs/" TargetMode="External"/><Relationship Id="rId298" Type="http://schemas.openxmlformats.org/officeDocument/2006/relationships/hyperlink" Target="https://leetcode.com/problems/map-sum-pairs/" TargetMode="External"/><Relationship Id="rId299" Type="http://schemas.openxmlformats.org/officeDocument/2006/relationships/hyperlink" Target="https://leetcode.com/problems/search-suggestions-system/" TargetMode="External"/><Relationship Id="rId300" Type="http://schemas.openxmlformats.org/officeDocument/2006/relationships/hyperlink" Target="https://leetcode.com/problems/search-suggestions-system/" TargetMode="External"/><Relationship Id="rId301" Type="http://schemas.openxmlformats.org/officeDocument/2006/relationships/hyperlink" Target="https://leetcode.com/problems/single-number/" TargetMode="External"/><Relationship Id="rId302" Type="http://schemas.openxmlformats.org/officeDocument/2006/relationships/hyperlink" Target="https://leetcode.com/problems/single-number/" TargetMode="External"/><Relationship Id="rId303" Type="http://schemas.openxmlformats.org/officeDocument/2006/relationships/hyperlink" Target="https://leetcode.com/problems/single-number-ii/" TargetMode="External"/><Relationship Id="rId304" Type="http://schemas.openxmlformats.org/officeDocument/2006/relationships/hyperlink" Target="https://leetcode.com/problems/single-number-ii/" TargetMode="External"/><Relationship Id="rId305" Type="http://schemas.openxmlformats.org/officeDocument/2006/relationships/hyperlink" Target="https://leetcode.com/problems/number-of-1-bits/" TargetMode="External"/><Relationship Id="rId306" Type="http://schemas.openxmlformats.org/officeDocument/2006/relationships/hyperlink" Target="https://leetcode.com/problems/number-of-1-bits/" TargetMode="External"/><Relationship Id="rId307" Type="http://schemas.openxmlformats.org/officeDocument/2006/relationships/hyperlink" Target="https://leetcode.com/problems/counting-bits/" TargetMode="External"/><Relationship Id="rId308" Type="http://schemas.openxmlformats.org/officeDocument/2006/relationships/hyperlink" Target="https://leetcode.com/problems/counting-bits/" TargetMode="External"/><Relationship Id="rId309" Type="http://schemas.openxmlformats.org/officeDocument/2006/relationships/hyperlink" Target="https://leetcode.com/problems/missing-number/" TargetMode="External"/><Relationship Id="rId310" Type="http://schemas.openxmlformats.org/officeDocument/2006/relationships/hyperlink" Target="https://leetcode.com/problems/missing-number/" TargetMode="External"/><Relationship Id="rId311" Type="http://schemas.openxmlformats.org/officeDocument/2006/relationships/hyperlink" Target="https://leetcode.com/problems/reverse-bits/" TargetMode="External"/><Relationship Id="rId312" Type="http://schemas.openxmlformats.org/officeDocument/2006/relationships/hyperlink" Target="https://leetcode.com/problems/reverse-bits/" TargetMode="External"/><Relationship Id="rId313" Type="http://schemas.openxmlformats.org/officeDocument/2006/relationships/hyperlink" Target="https://leetcode.com/problems/climbing-stairs/" TargetMode="External"/><Relationship Id="rId314" Type="http://schemas.openxmlformats.org/officeDocument/2006/relationships/hyperlink" Target="https://leetcode.com/problems/climbing-stairs/" TargetMode="External"/><Relationship Id="rId315" Type="http://schemas.openxmlformats.org/officeDocument/2006/relationships/hyperlink" Target="https://leetcode.com/problems/house-robber/" TargetMode="External"/><Relationship Id="rId316" Type="http://schemas.openxmlformats.org/officeDocument/2006/relationships/hyperlink" Target="https://leetcode.com/problems/house-robber/" TargetMode="External"/><Relationship Id="rId317" Type="http://schemas.openxmlformats.org/officeDocument/2006/relationships/hyperlink" Target="https://leetcode.com/problems/house-robber-ii/" TargetMode="External"/><Relationship Id="rId318" Type="http://schemas.openxmlformats.org/officeDocument/2006/relationships/hyperlink" Target="https://leetcode.com/problems/house-robber-ii/" TargetMode="External"/><Relationship Id="rId319" Type="http://schemas.openxmlformats.org/officeDocument/2006/relationships/hyperlink" Target="https://leetcode.com/problems/coin-change/" TargetMode="External"/><Relationship Id="rId320" Type="http://schemas.openxmlformats.org/officeDocument/2006/relationships/hyperlink" Target="https://leetcode.com/problems/coin-change/" TargetMode="External"/><Relationship Id="rId321" Type="http://schemas.openxmlformats.org/officeDocument/2006/relationships/hyperlink" Target="https://leetcode.com/problems/perfect-squares/" TargetMode="External"/><Relationship Id="rId322" Type="http://schemas.openxmlformats.org/officeDocument/2006/relationships/hyperlink" Target="https://leetcode.com/problems/perfect-squares/" TargetMode="External"/><Relationship Id="rId323" Type="http://schemas.openxmlformats.org/officeDocument/2006/relationships/hyperlink" Target="https://leetcode.com/problems/longest-increasing-subsequence/" TargetMode="External"/><Relationship Id="rId324" Type="http://schemas.openxmlformats.org/officeDocument/2006/relationships/hyperlink" Target="https://leetcode.com/problems/longest-increasing-subsequence/" TargetMode="External"/><Relationship Id="rId325" Type="http://schemas.openxmlformats.org/officeDocument/2006/relationships/hyperlink" Target="https://leetcode.com/problems/partition-equal-subset-sum/" TargetMode="External"/><Relationship Id="rId326" Type="http://schemas.openxmlformats.org/officeDocument/2006/relationships/hyperlink" Target="https://leetcode.com/problems/partition-equal-subset-sum/" TargetMode="External"/><Relationship Id="rId327" Type="http://schemas.openxmlformats.org/officeDocument/2006/relationships/hyperlink" Target="https://leetcode.com/problems/target-sum/" TargetMode="External"/><Relationship Id="rId328" Type="http://schemas.openxmlformats.org/officeDocument/2006/relationships/hyperlink" Target="https://leetcode.com/problems/target-sum/" TargetMode="External"/><Relationship Id="rId329" Type="http://schemas.openxmlformats.org/officeDocument/2006/relationships/hyperlink" Target="https://leetcode.com/problems/coin-change-ii/" TargetMode="External"/><Relationship Id="rId330" Type="http://schemas.openxmlformats.org/officeDocument/2006/relationships/hyperlink" Target="https://leetcode.com/problems/coin-change-ii/" TargetMode="External"/><Relationship Id="rId331" Type="http://schemas.openxmlformats.org/officeDocument/2006/relationships/hyperlink" Target="https://leetcode.com/problems/ones-and-zeroes/" TargetMode="External"/><Relationship Id="rId332" Type="http://schemas.openxmlformats.org/officeDocument/2006/relationships/hyperlink" Target="https://leetcode.com/problems/ones-and-zeroes/" TargetMode="External"/><Relationship Id="rId333" Type="http://schemas.openxmlformats.org/officeDocument/2006/relationships/hyperlink" Target="https://leetcode.com/problems/last-stone-weight-ii/" TargetMode="External"/><Relationship Id="rId334" Type="http://schemas.openxmlformats.org/officeDocument/2006/relationships/hyperlink" Target="https://leetcode.com/problems/last-stone-weight-ii/" TargetMode="External"/><Relationship Id="rId335" Type="http://schemas.openxmlformats.org/officeDocument/2006/relationships/hyperlink" Target="https://leetcode.com/problems/profitable-schemes/" TargetMode="External"/><Relationship Id="rId336" Type="http://schemas.openxmlformats.org/officeDocument/2006/relationships/hyperlink" Target="https://leetcode.com/problems/profitable-schemes/" TargetMode="External"/><Relationship Id="rId337" Type="http://schemas.openxmlformats.org/officeDocument/2006/relationships/hyperlink" Target="https://leetcode.com/problems/unique-paths/" TargetMode="External"/><Relationship Id="rId338" Type="http://schemas.openxmlformats.org/officeDocument/2006/relationships/hyperlink" Target="https://leetcode.com/problems/unique-paths/" TargetMode="External"/><Relationship Id="rId339" Type="http://schemas.openxmlformats.org/officeDocument/2006/relationships/hyperlink" Target="https://leetcode.com/problems/unique-paths-ii/" TargetMode="External"/><Relationship Id="rId340" Type="http://schemas.openxmlformats.org/officeDocument/2006/relationships/hyperlink" Target="https://leetcode.com/problems/unique-paths-ii/" TargetMode="External"/><Relationship Id="rId341" Type="http://schemas.openxmlformats.org/officeDocument/2006/relationships/hyperlink" Target="https://leetcode.com/problems/minimum-path-sum/" TargetMode="External"/><Relationship Id="rId342" Type="http://schemas.openxmlformats.org/officeDocument/2006/relationships/hyperlink" Target="https://leetcode.com/problems/minimum-path-sum/" TargetMode="External"/><Relationship Id="rId343" Type="http://schemas.openxmlformats.org/officeDocument/2006/relationships/hyperlink" Target="https://leetcode.com/problems/maximal-square/" TargetMode="External"/><Relationship Id="rId344" Type="http://schemas.openxmlformats.org/officeDocument/2006/relationships/hyperlink" Target="https://leetcode.com/problems/maximal-square/" TargetMode="External"/><Relationship Id="rId345" Type="http://schemas.openxmlformats.org/officeDocument/2006/relationships/hyperlink" Target="https://leetcode.com/problems/minimum-falling-path-sum/" TargetMode="External"/><Relationship Id="rId346" Type="http://schemas.openxmlformats.org/officeDocument/2006/relationships/hyperlink" Target="https://leetcode.com/problems/minimum-falling-path-sum/" TargetMode="External"/><Relationship Id="rId347" Type="http://schemas.openxmlformats.org/officeDocument/2006/relationships/hyperlink" Target="https://leetcode.com/problems/triangle/" TargetMode="External"/><Relationship Id="rId348" Type="http://schemas.openxmlformats.org/officeDocument/2006/relationships/hyperlink" Target="https://leetcode.com/problems/triangle/" TargetMode="External"/><Relationship Id="rId349" Type="http://schemas.openxmlformats.org/officeDocument/2006/relationships/hyperlink" Target="https://leetcode.com/problems/longest-common-subsequence/" TargetMode="External"/><Relationship Id="rId350" Type="http://schemas.openxmlformats.org/officeDocument/2006/relationships/hyperlink" Target="https://leetcode.com/problems/longest-common-subsequence/" TargetMode="External"/><Relationship Id="rId351" Type="http://schemas.openxmlformats.org/officeDocument/2006/relationships/hyperlink" Target="https://leetcode.com/problems/edit-distance/" TargetMode="External"/><Relationship Id="rId352" Type="http://schemas.openxmlformats.org/officeDocument/2006/relationships/hyperlink" Target="https://leetcode.com/problems/edit-distance/" TargetMode="External"/><Relationship Id="rId353" Type="http://schemas.openxmlformats.org/officeDocument/2006/relationships/hyperlink" Target="https://leetcode.com/problems/distinct-subsequences/" TargetMode="External"/><Relationship Id="rId354" Type="http://schemas.openxmlformats.org/officeDocument/2006/relationships/hyperlink" Target="https://leetcode.com/problems/distinct-subsequences/" TargetMode="External"/><Relationship Id="rId355" Type="http://schemas.openxmlformats.org/officeDocument/2006/relationships/hyperlink" Target="https://leetcode.com/problems/delete-operation-for-two-strings/" TargetMode="External"/><Relationship Id="rId356" Type="http://schemas.openxmlformats.org/officeDocument/2006/relationships/hyperlink" Target="https://leetcode.com/problems/delete-operation-for-two-strings/" TargetMode="External"/><Relationship Id="rId357" Type="http://schemas.openxmlformats.org/officeDocument/2006/relationships/hyperlink" Target="https://leetcode.com/problems/interleaving-string/" TargetMode="External"/><Relationship Id="rId358" Type="http://schemas.openxmlformats.org/officeDocument/2006/relationships/hyperlink" Target="https://leetcode.com/problems/interleaving-string/" TargetMode="External"/><Relationship Id="rId359" Type="http://schemas.openxmlformats.org/officeDocument/2006/relationships/hyperlink" Target="https://leetcode.com/problems/minimum-insertion-steps-to-make-a-string-palindrome/" TargetMode="External"/><Relationship Id="rId360" Type="http://schemas.openxmlformats.org/officeDocument/2006/relationships/hyperlink" Target="https://leetcode.com/problems/minimum-insertion-steps-to-make-a-string-palindrome/" TargetMode="External"/><Relationship Id="rId3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true" showOutlineSymbols="true" defaultGridColor="true" view="normal" topLeftCell="A1" colorId="64" zoomScale="109" zoomScaleNormal="109" zoomScalePageLayoutView="100" workbookViewId="0">
      <pane xSplit="0" ySplit="1" topLeftCell="A14" activePane="bottomLeft" state="frozen"/>
      <selection pane="topLeft" activeCell="A1" activeCellId="0" sqref="A1"/>
      <selection pane="bottom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60"/>
    <col collapsed="false" customWidth="true" hidden="false" outlineLevel="0" max="8" min="8" style="1" width="95.83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5" hidden="false" customHeight="true" outlineLevel="0" collapsed="false">
      <c r="A2" s="3" t="s">
        <v>8</v>
      </c>
      <c r="B2" s="4" t="str">
        <f aca="false">HYPERLINK("https://leetcode.com/problems/longest-substring-without-repeating-characters/", "3")</f>
        <v>3</v>
      </c>
      <c r="C2" s="5" t="str">
        <f aca="false">HYPERLINK("https://leetcode.com/problems/longest-substring-without-repeating-characters/", "Longest Substring Without Repeating Characters")</f>
        <v>Longest Substring Without Repeating Characters</v>
      </c>
      <c r="D2" s="6" t="s">
        <v>9</v>
      </c>
      <c r="E2" s="7" t="s">
        <v>10</v>
      </c>
      <c r="F2" s="8" t="s">
        <v>11</v>
      </c>
      <c r="G2" s="9" t="s">
        <v>12</v>
      </c>
      <c r="H2" s="10" t="s">
        <v>13</v>
      </c>
    </row>
    <row r="3" customFormat="false" ht="19.5" hidden="false" customHeight="true" outlineLevel="0" collapsed="false">
      <c r="A3" s="11" t="s">
        <v>8</v>
      </c>
      <c r="B3" s="12" t="str">
        <f aca="false">HYPERLINK("https://leetcode.com/problems/minimum-window-substring/", "76")</f>
        <v>76</v>
      </c>
      <c r="C3" s="13" t="str">
        <f aca="false">HYPERLINK("https://leetcode.com/problems/minimum-window-substring/", "Minimum Window Substring")</f>
        <v>Minimum Window Substring</v>
      </c>
      <c r="D3" s="14" t="s">
        <v>14</v>
      </c>
      <c r="E3" s="7" t="s">
        <v>10</v>
      </c>
      <c r="F3" s="15" t="s">
        <v>11</v>
      </c>
      <c r="G3" s="16" t="s">
        <v>15</v>
      </c>
      <c r="H3" s="17" t="s">
        <v>16</v>
      </c>
    </row>
    <row r="4" customFormat="false" ht="19.5" hidden="false" customHeight="true" outlineLevel="0" collapsed="false">
      <c r="A4" s="3" t="s">
        <v>8</v>
      </c>
      <c r="B4" s="4" t="str">
        <f aca="false">HYPERLINK("https://leetcode.com/problems/minimum-size-subarray-sum/", "209")</f>
        <v>209</v>
      </c>
      <c r="C4" s="5" t="str">
        <f aca="false">HYPERLINK("https://leetcode.com/problems/minimum-size-subarray-sum/", "Minimum Size Subarray Sum")</f>
        <v>Minimum Size Subarray Sum</v>
      </c>
      <c r="D4" s="6" t="s">
        <v>9</v>
      </c>
      <c r="E4" s="7" t="s">
        <v>10</v>
      </c>
      <c r="F4" s="8" t="s">
        <v>11</v>
      </c>
      <c r="G4" s="9" t="s">
        <v>17</v>
      </c>
      <c r="H4" s="10" t="s">
        <v>18</v>
      </c>
    </row>
    <row r="5" customFormat="false" ht="19.5" hidden="false" customHeight="true" outlineLevel="0" collapsed="false">
      <c r="A5" s="11" t="s">
        <v>8</v>
      </c>
      <c r="B5" s="12" t="str">
        <f aca="false">HYPERLINK("https://leetcode.com/problems/longest-repeating-character-replacement/", "424")</f>
        <v>424</v>
      </c>
      <c r="C5" s="13" t="str">
        <f aca="false">HYPERLINK("https://leetcode.com/problems/longest-repeating-character-replacement/", "Longest Repeating Character Replacement")</f>
        <v>Longest Repeating Character Replacement</v>
      </c>
      <c r="D5" s="6" t="s">
        <v>9</v>
      </c>
      <c r="E5" s="7" t="s">
        <v>10</v>
      </c>
      <c r="F5" s="15" t="s">
        <v>11</v>
      </c>
      <c r="G5" s="16" t="s">
        <v>19</v>
      </c>
      <c r="H5" s="17" t="s">
        <v>20</v>
      </c>
    </row>
    <row r="6" customFormat="false" ht="19.5" hidden="false" customHeight="true" outlineLevel="0" collapsed="false">
      <c r="A6" s="3" t="s">
        <v>8</v>
      </c>
      <c r="B6" s="4" t="str">
        <f aca="false">HYPERLINK("https://leetcode.com/problems/permutation-in-string/", "567")</f>
        <v>567</v>
      </c>
      <c r="C6" s="5" t="str">
        <f aca="false">HYPERLINK("https://leetcode.com/problems/permutation-in-string/", "Permutation in String")</f>
        <v>Permutation in String</v>
      </c>
      <c r="D6" s="6" t="s">
        <v>9</v>
      </c>
      <c r="E6" s="8" t="s">
        <v>11</v>
      </c>
      <c r="F6" s="8" t="s">
        <v>11</v>
      </c>
      <c r="G6" s="9" t="s">
        <v>21</v>
      </c>
      <c r="H6" s="10"/>
    </row>
    <row r="7" customFormat="false" ht="19.5" hidden="false" customHeight="true" outlineLevel="0" collapsed="false">
      <c r="A7" s="11" t="s">
        <v>8</v>
      </c>
      <c r="B7" s="12" t="str">
        <f aca="false">HYPERLINK("https://leetcode.com/problems/fruit-into-baskets/", "904")</f>
        <v>904</v>
      </c>
      <c r="C7" s="13" t="str">
        <f aca="false">HYPERLINK("https://leetcode.com/problems/fruit-into-baskets/", "Fruit Into Baskets")</f>
        <v>Fruit Into Baskets</v>
      </c>
      <c r="D7" s="6" t="s">
        <v>9</v>
      </c>
      <c r="E7" s="15" t="s">
        <v>11</v>
      </c>
      <c r="F7" s="15" t="s">
        <v>11</v>
      </c>
      <c r="G7" s="16" t="s">
        <v>22</v>
      </c>
      <c r="H7" s="17"/>
    </row>
    <row r="8" customFormat="false" ht="19.5" hidden="false" customHeight="true" outlineLevel="0" collapsed="false">
      <c r="A8" s="3" t="s">
        <v>23</v>
      </c>
      <c r="B8" s="4" t="str">
        <f aca="false">HYPERLINK("https://leetcode.com/problems/container-with-most-water/", "11")</f>
        <v>11</v>
      </c>
      <c r="C8" s="5" t="str">
        <f aca="false">HYPERLINK("https://leetcode.com/problems/container-with-most-water/", "Container With Most Water")</f>
        <v>Container With Most Water</v>
      </c>
      <c r="D8" s="6" t="s">
        <v>9</v>
      </c>
      <c r="E8" s="7" t="s">
        <v>10</v>
      </c>
      <c r="F8" s="8" t="s">
        <v>11</v>
      </c>
      <c r="G8" s="9" t="s">
        <v>24</v>
      </c>
      <c r="H8" s="10" t="s">
        <v>25</v>
      </c>
    </row>
    <row r="9" customFormat="false" ht="19.5" hidden="false" customHeight="true" outlineLevel="0" collapsed="false">
      <c r="A9" s="11" t="s">
        <v>23</v>
      </c>
      <c r="B9" s="12" t="str">
        <f aca="false">HYPERLINK("https://leetcode.com/problems/3sum/", "15")</f>
        <v>15</v>
      </c>
      <c r="C9" s="13" t="str">
        <f aca="false">HYPERLINK("https://leetcode.com/problems/3sum/", "3Sum")</f>
        <v>3Sum</v>
      </c>
      <c r="D9" s="6" t="s">
        <v>9</v>
      </c>
      <c r="E9" s="7" t="s">
        <v>10</v>
      </c>
      <c r="F9" s="15" t="s">
        <v>11</v>
      </c>
      <c r="G9" s="16" t="s">
        <v>26</v>
      </c>
      <c r="H9" s="17" t="s">
        <v>27</v>
      </c>
    </row>
    <row r="10" customFormat="false" ht="19.5" hidden="false" customHeight="true" outlineLevel="0" collapsed="false">
      <c r="A10" s="3" t="s">
        <v>23</v>
      </c>
      <c r="B10" s="4" t="str">
        <f aca="false">HYPERLINK("https://leetcode.com/problems/3sum-closest/", "16")</f>
        <v>16</v>
      </c>
      <c r="C10" s="5" t="str">
        <f aca="false">HYPERLINK("https://leetcode.com/problems/3sum-closest/", "3Sum Closest")</f>
        <v>3Sum Closest</v>
      </c>
      <c r="D10" s="6" t="s">
        <v>9</v>
      </c>
      <c r="E10" s="7" t="s">
        <v>10</v>
      </c>
      <c r="F10" s="8" t="s">
        <v>11</v>
      </c>
      <c r="G10" s="9" t="s">
        <v>28</v>
      </c>
      <c r="H10" s="10" t="s">
        <v>29</v>
      </c>
    </row>
    <row r="11" customFormat="false" ht="19.5" hidden="false" customHeight="true" outlineLevel="0" collapsed="false">
      <c r="A11" s="11" t="s">
        <v>23</v>
      </c>
      <c r="B11" s="12" t="str">
        <f aca="false">HYPERLINK("https://leetcode.com/problems/4sum/", "18")</f>
        <v>18</v>
      </c>
      <c r="C11" s="13" t="str">
        <f aca="false">HYPERLINK("https://leetcode.com/problems/4sum/", "4Sum")</f>
        <v>4Sum</v>
      </c>
      <c r="D11" s="6" t="s">
        <v>9</v>
      </c>
      <c r="E11" s="7" t="s">
        <v>10</v>
      </c>
      <c r="F11" s="15" t="s">
        <v>11</v>
      </c>
      <c r="G11" s="16" t="s">
        <v>30</v>
      </c>
      <c r="H11" s="17" t="s">
        <v>31</v>
      </c>
    </row>
    <row r="12" customFormat="false" ht="19.5" hidden="false" customHeight="true" outlineLevel="0" collapsed="false">
      <c r="A12" s="3" t="s">
        <v>23</v>
      </c>
      <c r="B12" s="4" t="str">
        <f aca="false">HYPERLINK("https://leetcode.com/problems/trapping-rain-water/", "42")</f>
        <v>42</v>
      </c>
      <c r="C12" s="5" t="str">
        <f aca="false">HYPERLINK("https://leetcode.com/problems/trapping-rain-water/", "Trapping Rain Water")</f>
        <v>Trapping Rain Water</v>
      </c>
      <c r="D12" s="14" t="s">
        <v>14</v>
      </c>
      <c r="E12" s="8" t="s">
        <v>11</v>
      </c>
      <c r="F12" s="8" t="s">
        <v>11</v>
      </c>
      <c r="G12" s="9" t="s">
        <v>32</v>
      </c>
      <c r="H12" s="10"/>
    </row>
    <row r="13" customFormat="false" ht="19.5" hidden="false" customHeight="true" outlineLevel="0" collapsed="false">
      <c r="A13" s="11" t="s">
        <v>23</v>
      </c>
      <c r="B13" s="12" t="str">
        <f aca="false">HYPERLINK("https://leetcode.com/problems/two-sum-ii-input-array-is-sorted/", "167")</f>
        <v>167</v>
      </c>
      <c r="C13" s="13" t="str">
        <f aca="false">HYPERLINK("https://leetcode.com/problems/two-sum-ii-input-array-is-sorted/", "Two Sum II - Input Array Is Sorted")</f>
        <v>Two Sum II - Input Array Is Sorted</v>
      </c>
      <c r="D13" s="6" t="s">
        <v>9</v>
      </c>
      <c r="E13" s="15" t="s">
        <v>11</v>
      </c>
      <c r="F13" s="15" t="s">
        <v>11</v>
      </c>
      <c r="G13" s="16" t="s">
        <v>33</v>
      </c>
      <c r="H13" s="17"/>
    </row>
    <row r="14" customFormat="false" ht="19.5" hidden="false" customHeight="true" outlineLevel="0" collapsed="false">
      <c r="A14" s="3" t="s">
        <v>34</v>
      </c>
      <c r="B14" s="4" t="str">
        <f aca="false">HYPERLINK("https://leetcode.com/problems/linked-list-cycle/", "141")</f>
        <v>141</v>
      </c>
      <c r="C14" s="5" t="str">
        <f aca="false">HYPERLINK("https://leetcode.com/problems/linked-list-cycle/", "Linked List Cycle")</f>
        <v>Linked List Cycle</v>
      </c>
      <c r="D14" s="18" t="s">
        <v>35</v>
      </c>
      <c r="E14" s="7" t="s">
        <v>10</v>
      </c>
      <c r="F14" s="8" t="s">
        <v>11</v>
      </c>
      <c r="G14" s="9" t="s">
        <v>36</v>
      </c>
      <c r="H14" s="10" t="s">
        <v>37</v>
      </c>
    </row>
    <row r="15" customFormat="false" ht="19.5" hidden="false" customHeight="true" outlineLevel="0" collapsed="false">
      <c r="A15" s="11" t="s">
        <v>34</v>
      </c>
      <c r="B15" s="12" t="str">
        <f aca="false">HYPERLINK("https://leetcode.com/problems/linked-list-cycle-ii/", "142")</f>
        <v>142</v>
      </c>
      <c r="C15" s="13" t="str">
        <f aca="false">HYPERLINK("https://leetcode.com/problems/linked-list-cycle-ii/", "Linked List Cycle II")</f>
        <v>Linked List Cycle II</v>
      </c>
      <c r="D15" s="6" t="s">
        <v>9</v>
      </c>
      <c r="E15" s="7" t="s">
        <v>10</v>
      </c>
      <c r="F15" s="15" t="s">
        <v>11</v>
      </c>
      <c r="G15" s="16" t="s">
        <v>38</v>
      </c>
      <c r="H15" s="17" t="s">
        <v>39</v>
      </c>
    </row>
    <row r="16" customFormat="false" ht="19.5" hidden="false" customHeight="true" outlineLevel="0" collapsed="false">
      <c r="A16" s="3" t="s">
        <v>34</v>
      </c>
      <c r="B16" s="4" t="str">
        <f aca="false">HYPERLINK("https://leetcode.com/problems/remove-nth-node-from-end-of-list/", "19")</f>
        <v>19</v>
      </c>
      <c r="C16" s="5" t="str">
        <f aca="false">HYPERLINK("https://leetcode.com/problems/remove-nth-node-from-end-of-list/", "Remove Nth Node From End of List")</f>
        <v>Remove Nth Node From End of List</v>
      </c>
      <c r="D16" s="6" t="s">
        <v>9</v>
      </c>
      <c r="E16" s="7" t="s">
        <v>10</v>
      </c>
      <c r="F16" s="8" t="s">
        <v>11</v>
      </c>
      <c r="G16" s="9" t="s">
        <v>40</v>
      </c>
      <c r="H16" s="10"/>
    </row>
    <row r="17" customFormat="false" ht="19.5" hidden="false" customHeight="true" outlineLevel="0" collapsed="false">
      <c r="A17" s="11" t="s">
        <v>34</v>
      </c>
      <c r="B17" s="12" t="str">
        <f aca="false">HYPERLINK("https://leetcode.com/problems/middle-of-the-linked-list/", "876")</f>
        <v>876</v>
      </c>
      <c r="C17" s="13" t="str">
        <f aca="false">HYPERLINK("https://leetcode.com/problems/middle-of-the-linked-list/", "Middle of the Linked List")</f>
        <v>Middle of the Linked List</v>
      </c>
      <c r="D17" s="18" t="s">
        <v>35</v>
      </c>
      <c r="E17" s="7" t="s">
        <v>10</v>
      </c>
      <c r="F17" s="15" t="s">
        <v>11</v>
      </c>
      <c r="G17" s="16" t="s">
        <v>41</v>
      </c>
      <c r="H17" s="17"/>
    </row>
    <row r="18" customFormat="false" ht="19.5" hidden="false" customHeight="true" outlineLevel="0" collapsed="false">
      <c r="A18" s="3" t="s">
        <v>34</v>
      </c>
      <c r="B18" s="4" t="str">
        <f aca="false">HYPERLINK("https://leetcode.com/problems/intersection-of-two-linked-lists/", "160")</f>
        <v>160</v>
      </c>
      <c r="C18" s="5" t="str">
        <f aca="false">HYPERLINK("https://leetcode.com/problems/intersection-of-two-linked-lists/", "Intersection of Two Linked Lists")</f>
        <v>Intersection of Two Linked Lists</v>
      </c>
      <c r="D18" s="18" t="s">
        <v>35</v>
      </c>
      <c r="E18" s="8" t="s">
        <v>11</v>
      </c>
      <c r="F18" s="8" t="s">
        <v>11</v>
      </c>
      <c r="G18" s="9" t="s">
        <v>42</v>
      </c>
      <c r="H18" s="10"/>
    </row>
    <row r="19" customFormat="false" ht="19.5" hidden="false" customHeight="true" outlineLevel="0" collapsed="false">
      <c r="A19" s="11" t="s">
        <v>34</v>
      </c>
      <c r="B19" s="12" t="str">
        <f aca="false">HYPERLINK("https://leetcode.com/problems/palindrome-linked-list/", "234")</f>
        <v>234</v>
      </c>
      <c r="C19" s="13" t="str">
        <f aca="false">HYPERLINK("https://leetcode.com/problems/palindrome-linked-list/", "Palindrome Linked List")</f>
        <v>Palindrome Linked List</v>
      </c>
      <c r="D19" s="18" t="s">
        <v>35</v>
      </c>
      <c r="E19" s="15" t="s">
        <v>11</v>
      </c>
      <c r="F19" s="15" t="s">
        <v>11</v>
      </c>
      <c r="G19" s="16" t="s">
        <v>43</v>
      </c>
      <c r="H19" s="17"/>
    </row>
    <row r="20" customFormat="false" ht="19.5" hidden="false" customHeight="true" outlineLevel="0" collapsed="false">
      <c r="A20" s="3" t="s">
        <v>44</v>
      </c>
      <c r="B20" s="4" t="str">
        <f aca="false">HYPERLINK("https://leetcode.com/problems/search-in-rotated-sorted-array/", "33")</f>
        <v>33</v>
      </c>
      <c r="C20" s="5" t="str">
        <f aca="false">HYPERLINK("https://leetcode.com/problems/search-in-rotated-sorted-array/", "Search in Rotated Sorted Array")</f>
        <v>Search in Rotated Sorted Array</v>
      </c>
      <c r="D20" s="6" t="s">
        <v>9</v>
      </c>
      <c r="E20" s="8" t="s">
        <v>11</v>
      </c>
      <c r="F20" s="8" t="s">
        <v>11</v>
      </c>
      <c r="G20" s="9" t="s">
        <v>45</v>
      </c>
      <c r="H20" s="10"/>
    </row>
    <row r="21" customFormat="false" ht="19.5" hidden="false" customHeight="true" outlineLevel="0" collapsed="false">
      <c r="A21" s="11" t="s">
        <v>44</v>
      </c>
      <c r="B21" s="12" t="str">
        <f aca="false">HYPERLINK("https://leetcode.com/problems/find-first-and-last-position-of-element-in-sorted-array/", "34")</f>
        <v>34</v>
      </c>
      <c r="C21" s="13" t="str">
        <f aca="false">HYPERLINK("https://leetcode.com/problems/find-first-and-last-position-of-element-in-sorted-array/", "Find First and Last Position of Element in Sorted Array")</f>
        <v>Find First and Last Position of Element in Sorted Array</v>
      </c>
      <c r="D21" s="6" t="s">
        <v>9</v>
      </c>
      <c r="E21" s="15" t="s">
        <v>11</v>
      </c>
      <c r="F21" s="15" t="s">
        <v>11</v>
      </c>
      <c r="G21" s="16" t="s">
        <v>46</v>
      </c>
      <c r="H21" s="17"/>
    </row>
    <row r="22" customFormat="false" ht="19.5" hidden="false" customHeight="true" outlineLevel="0" collapsed="false">
      <c r="A22" s="3" t="s">
        <v>44</v>
      </c>
      <c r="B22" s="4" t="str">
        <f aca="false">HYPERLINK("https://leetcode.com/problems/search-insert-position/", "35")</f>
        <v>35</v>
      </c>
      <c r="C22" s="5" t="str">
        <f aca="false">HYPERLINK("https://leetcode.com/problems/search-insert-position/", "Search Insert Position")</f>
        <v>Search Insert Position</v>
      </c>
      <c r="D22" s="18" t="s">
        <v>35</v>
      </c>
      <c r="E22" s="8" t="s">
        <v>11</v>
      </c>
      <c r="F22" s="8" t="s">
        <v>11</v>
      </c>
      <c r="G22" s="9" t="s">
        <v>47</v>
      </c>
      <c r="H22" s="10"/>
    </row>
    <row r="23" customFormat="false" ht="19.5" hidden="false" customHeight="true" outlineLevel="0" collapsed="false">
      <c r="A23" s="11" t="s">
        <v>44</v>
      </c>
      <c r="B23" s="12" t="str">
        <f aca="false">HYPERLINK("https://leetcode.com/problems/find-minimum-in-rotated-sorted-array/", "153")</f>
        <v>153</v>
      </c>
      <c r="C23" s="13" t="str">
        <f aca="false">HYPERLINK("https://leetcode.com/problems/find-minimum-in-rotated-sorted-array/", "Find Minimum in Rotated Sorted Array")</f>
        <v>Find Minimum in Rotated Sorted Array</v>
      </c>
      <c r="D23" s="6" t="s">
        <v>9</v>
      </c>
      <c r="E23" s="15" t="s">
        <v>11</v>
      </c>
      <c r="F23" s="15" t="s">
        <v>11</v>
      </c>
      <c r="G23" s="16" t="s">
        <v>48</v>
      </c>
      <c r="H23" s="17"/>
    </row>
    <row r="24" customFormat="false" ht="19.5" hidden="false" customHeight="true" outlineLevel="0" collapsed="false">
      <c r="A24" s="3" t="s">
        <v>44</v>
      </c>
      <c r="B24" s="4" t="str">
        <f aca="false">HYPERLINK("https://leetcode.com/problems/find-peak-element/", "162")</f>
        <v>162</v>
      </c>
      <c r="C24" s="5" t="str">
        <f aca="false">HYPERLINK("https://leetcode.com/problems/find-peak-element/", "Find Peak Element")</f>
        <v>Find Peak Element</v>
      </c>
      <c r="D24" s="6" t="s">
        <v>9</v>
      </c>
      <c r="E24" s="8" t="s">
        <v>11</v>
      </c>
      <c r="F24" s="8" t="s">
        <v>11</v>
      </c>
      <c r="G24" s="9" t="s">
        <v>49</v>
      </c>
      <c r="H24" s="10"/>
    </row>
    <row r="25" customFormat="false" ht="19.5" hidden="false" customHeight="true" outlineLevel="0" collapsed="false">
      <c r="A25" s="11" t="s">
        <v>44</v>
      </c>
      <c r="B25" s="12" t="str">
        <f aca="false">HYPERLINK("https://leetcode.com/problems/binary-search/", "704")</f>
        <v>704</v>
      </c>
      <c r="C25" s="13" t="str">
        <f aca="false">HYPERLINK("https://leetcode.com/problems/binary-search/", "Binary Search")</f>
        <v>Binary Search</v>
      </c>
      <c r="D25" s="18" t="s">
        <v>35</v>
      </c>
      <c r="E25" s="15" t="s">
        <v>11</v>
      </c>
      <c r="F25" s="15" t="s">
        <v>11</v>
      </c>
      <c r="G25" s="16" t="s">
        <v>50</v>
      </c>
      <c r="H25" s="17"/>
    </row>
    <row r="26" customFormat="false" ht="19.5" hidden="false" customHeight="true" outlineLevel="0" collapsed="false">
      <c r="A26" s="3" t="s">
        <v>51</v>
      </c>
      <c r="B26" s="4" t="str">
        <f aca="false">HYPERLINK("https://leetcode.com/problems/koko-eating-bananas/", "875")</f>
        <v>875</v>
      </c>
      <c r="C26" s="5" t="str">
        <f aca="false">HYPERLINK("https://leetcode.com/problems/koko-eating-bananas/", "Koko Eating Bananas")</f>
        <v>Koko Eating Bananas</v>
      </c>
      <c r="D26" s="6" t="s">
        <v>9</v>
      </c>
      <c r="E26" s="8" t="s">
        <v>11</v>
      </c>
      <c r="F26" s="8" t="s">
        <v>11</v>
      </c>
      <c r="G26" s="9" t="s">
        <v>52</v>
      </c>
      <c r="H26" s="10"/>
    </row>
    <row r="27" customFormat="false" ht="19.5" hidden="false" customHeight="true" outlineLevel="0" collapsed="false">
      <c r="A27" s="11" t="s">
        <v>51</v>
      </c>
      <c r="B27" s="12" t="str">
        <f aca="false">HYPERLINK("https://leetcode.com/problems/capacity-to-ship-packages-within-d-days/", "1011")</f>
        <v>1011</v>
      </c>
      <c r="C27" s="13" t="str">
        <f aca="false">HYPERLINK("https://leetcode.com/problems/capacity-to-ship-packages-within-d-days/", "Capacity To Ship Packages Within D Days")</f>
        <v>Capacity To Ship Packages Within D Days</v>
      </c>
      <c r="D27" s="6" t="s">
        <v>9</v>
      </c>
      <c r="E27" s="15" t="s">
        <v>11</v>
      </c>
      <c r="F27" s="15" t="s">
        <v>11</v>
      </c>
      <c r="G27" s="16" t="s">
        <v>53</v>
      </c>
      <c r="H27" s="17"/>
    </row>
    <row r="28" customFormat="false" ht="19.5" hidden="false" customHeight="true" outlineLevel="0" collapsed="false">
      <c r="A28" s="3" t="s">
        <v>51</v>
      </c>
      <c r="B28" s="4" t="str">
        <f aca="false">HYPERLINK("https://leetcode.com/problems/split-array-largest-sum/", "410")</f>
        <v>410</v>
      </c>
      <c r="C28" s="5" t="str">
        <f aca="false">HYPERLINK("https://leetcode.com/problems/split-array-largest-sum/", "Split Array Largest Sum")</f>
        <v>Split Array Largest Sum</v>
      </c>
      <c r="D28" s="14" t="s">
        <v>14</v>
      </c>
      <c r="E28" s="8" t="s">
        <v>11</v>
      </c>
      <c r="F28" s="8" t="s">
        <v>11</v>
      </c>
      <c r="G28" s="9" t="s">
        <v>54</v>
      </c>
      <c r="H28" s="10"/>
    </row>
    <row r="29" customFormat="false" ht="19.5" hidden="false" customHeight="true" outlineLevel="0" collapsed="false">
      <c r="A29" s="11" t="s">
        <v>51</v>
      </c>
      <c r="B29" s="12" t="str">
        <f aca="false">HYPERLINK("https://leetcode.com/problems/minimize-max-distance-to-gas-station/", "774")</f>
        <v>774</v>
      </c>
      <c r="C29" s="13" t="str">
        <f aca="false">HYPERLINK("https://leetcode.com/problems/minimize-max-distance-to-gas-station/", "Minimize Max Distance to Gas Station")</f>
        <v>Minimize Max Distance to Gas Station</v>
      </c>
      <c r="D29" s="14" t="s">
        <v>14</v>
      </c>
      <c r="E29" s="15" t="s">
        <v>11</v>
      </c>
      <c r="F29" s="15" t="s">
        <v>11</v>
      </c>
      <c r="G29" s="16" t="s">
        <v>55</v>
      </c>
      <c r="H29" s="19" t="s">
        <v>56</v>
      </c>
    </row>
    <row r="30" customFormat="false" ht="19.5" hidden="false" customHeight="true" outlineLevel="0" collapsed="false">
      <c r="A30" s="3" t="s">
        <v>51</v>
      </c>
      <c r="B30" s="4" t="str">
        <f aca="false">HYPERLINK("https://leetcode.com/problems/find-the-smallest-divisor-given-a-threshold/", "1283")</f>
        <v>1283</v>
      </c>
      <c r="C30" s="5" t="str">
        <f aca="false">HYPERLINK("https://leetcode.com/problems/find-the-smallest-divisor-given-a-threshold/", "Find the Smallest Divisor Given a Threshold")</f>
        <v>Find the Smallest Divisor Given a Threshold</v>
      </c>
      <c r="D30" s="6" t="s">
        <v>9</v>
      </c>
      <c r="E30" s="8" t="s">
        <v>11</v>
      </c>
      <c r="F30" s="8" t="s">
        <v>11</v>
      </c>
      <c r="G30" s="9" t="s">
        <v>57</v>
      </c>
      <c r="H30" s="10"/>
    </row>
    <row r="31" customFormat="false" ht="19.5" hidden="false" customHeight="true" outlineLevel="0" collapsed="false">
      <c r="A31" s="11" t="s">
        <v>51</v>
      </c>
      <c r="B31" s="12" t="str">
        <f aca="false">HYPERLINK("https://leetcode.com/problems/minimum-number-of-days-to-make-m-bouquets/", "1482")</f>
        <v>1482</v>
      </c>
      <c r="C31" s="13" t="str">
        <f aca="false">HYPERLINK("https://leetcode.com/problems/minimum-number-of-days-to-make-m-bouquets/", "Minimum Number of Days to Make m Bouquets")</f>
        <v>Minimum Number of Days to Make m Bouquets</v>
      </c>
      <c r="D31" s="6" t="s">
        <v>9</v>
      </c>
      <c r="E31" s="15" t="s">
        <v>11</v>
      </c>
      <c r="F31" s="15" t="s">
        <v>11</v>
      </c>
      <c r="G31" s="16" t="s">
        <v>58</v>
      </c>
      <c r="H31" s="17"/>
    </row>
    <row r="32" customFormat="false" ht="19.5" hidden="false" customHeight="true" outlineLevel="0" collapsed="false">
      <c r="A32" s="3" t="s">
        <v>59</v>
      </c>
      <c r="B32" s="4" t="str">
        <f aca="false">HYPERLINK("https://leetcode.com/problems/two-sum/", "1")</f>
        <v>1</v>
      </c>
      <c r="C32" s="5" t="str">
        <f aca="false">HYPERLINK("https://leetcode.com/problems/two-sum/", "Two Sum")</f>
        <v>Two Sum</v>
      </c>
      <c r="D32" s="18" t="s">
        <v>35</v>
      </c>
      <c r="E32" s="8" t="s">
        <v>11</v>
      </c>
      <c r="F32" s="8" t="s">
        <v>11</v>
      </c>
      <c r="G32" s="9" t="s">
        <v>60</v>
      </c>
      <c r="H32" s="10"/>
    </row>
    <row r="33" customFormat="false" ht="19.5" hidden="false" customHeight="true" outlineLevel="0" collapsed="false">
      <c r="A33" s="11" t="s">
        <v>59</v>
      </c>
      <c r="B33" s="12" t="str">
        <f aca="false">HYPERLINK("https://leetcode.com/problems/group-anagrams/", "49")</f>
        <v>49</v>
      </c>
      <c r="C33" s="13" t="str">
        <f aca="false">HYPERLINK("https://leetcode.com/problems/group-anagrams/", "Group Anagrams")</f>
        <v>Group Anagrams</v>
      </c>
      <c r="D33" s="6" t="s">
        <v>9</v>
      </c>
      <c r="E33" s="15" t="s">
        <v>11</v>
      </c>
      <c r="F33" s="15" t="s">
        <v>11</v>
      </c>
      <c r="G33" s="16" t="s">
        <v>61</v>
      </c>
      <c r="H33" s="17"/>
    </row>
    <row r="34" customFormat="false" ht="19.5" hidden="false" customHeight="true" outlineLevel="0" collapsed="false">
      <c r="A34" s="3" t="s">
        <v>59</v>
      </c>
      <c r="B34" s="4" t="str">
        <f aca="false">HYPERLINK("https://leetcode.com/problems/longest-consecutive-sequence/", "128")</f>
        <v>128</v>
      </c>
      <c r="C34" s="5" t="str">
        <f aca="false">HYPERLINK("https://leetcode.com/problems/longest-consecutive-sequence/", "Longest Consecutive Sequence")</f>
        <v>Longest Consecutive Sequence</v>
      </c>
      <c r="D34" s="6" t="s">
        <v>9</v>
      </c>
      <c r="E34" s="8" t="s">
        <v>11</v>
      </c>
      <c r="F34" s="8" t="s">
        <v>11</v>
      </c>
      <c r="G34" s="9" t="s">
        <v>62</v>
      </c>
      <c r="H34" s="10"/>
    </row>
    <row r="35" customFormat="false" ht="19.5" hidden="false" customHeight="true" outlineLevel="0" collapsed="false">
      <c r="A35" s="11" t="s">
        <v>59</v>
      </c>
      <c r="B35" s="12" t="str">
        <f aca="false">HYPERLINK("https://leetcode.com/problems/contains-duplicate/", "217")</f>
        <v>217</v>
      </c>
      <c r="C35" s="13" t="str">
        <f aca="false">HYPERLINK("https://leetcode.com/problems/contains-duplicate/", "Contains Duplicate")</f>
        <v>Contains Duplicate</v>
      </c>
      <c r="D35" s="18" t="s">
        <v>35</v>
      </c>
      <c r="E35" s="15" t="s">
        <v>11</v>
      </c>
      <c r="F35" s="15" t="s">
        <v>11</v>
      </c>
      <c r="G35" s="16" t="s">
        <v>63</v>
      </c>
      <c r="H35" s="17"/>
    </row>
    <row r="36" customFormat="false" ht="19.5" hidden="false" customHeight="true" outlineLevel="0" collapsed="false">
      <c r="A36" s="3" t="s">
        <v>59</v>
      </c>
      <c r="B36" s="4" t="str">
        <f aca="false">HYPERLINK("https://leetcode.com/problems/valid-anagram/", "242")</f>
        <v>242</v>
      </c>
      <c r="C36" s="5" t="str">
        <f aca="false">HYPERLINK("https://leetcode.com/problems/valid-anagram/", "Valid Anagram")</f>
        <v>Valid Anagram</v>
      </c>
      <c r="D36" s="18" t="s">
        <v>35</v>
      </c>
      <c r="E36" s="8" t="s">
        <v>11</v>
      </c>
      <c r="F36" s="8" t="s">
        <v>11</v>
      </c>
      <c r="G36" s="9" t="s">
        <v>64</v>
      </c>
      <c r="H36" s="10"/>
    </row>
    <row r="37" customFormat="false" ht="19.5" hidden="false" customHeight="true" outlineLevel="0" collapsed="false">
      <c r="A37" s="11" t="s">
        <v>59</v>
      </c>
      <c r="B37" s="12" t="str">
        <f aca="false">HYPERLINK("https://leetcode.com/problems/top-k-frequent-elements/", "347")</f>
        <v>347</v>
      </c>
      <c r="C37" s="13" t="str">
        <f aca="false">HYPERLINK("https://leetcode.com/problems/top-k-frequent-elements/", "Top K Frequent Elements")</f>
        <v>Top K Frequent Elements</v>
      </c>
      <c r="D37" s="6" t="s">
        <v>9</v>
      </c>
      <c r="E37" s="15" t="s">
        <v>11</v>
      </c>
      <c r="F37" s="15" t="s">
        <v>11</v>
      </c>
      <c r="G37" s="16" t="s">
        <v>65</v>
      </c>
      <c r="H37" s="17"/>
    </row>
    <row r="38" customFormat="false" ht="19.5" hidden="false" customHeight="true" outlineLevel="0" collapsed="false">
      <c r="A38" s="3" t="s">
        <v>66</v>
      </c>
      <c r="B38" s="4" t="str">
        <f aca="false">HYPERLINK("https://leetcode.com/problems/range-sum-query-immutable/", "303")</f>
        <v>303</v>
      </c>
      <c r="C38" s="5" t="str">
        <f aca="false">HYPERLINK("https://leetcode.com/problems/range-sum-query-immutable/", "Range Sum Query - Immutable")</f>
        <v>Range Sum Query - Immutable</v>
      </c>
      <c r="D38" s="18" t="s">
        <v>35</v>
      </c>
      <c r="E38" s="8" t="s">
        <v>11</v>
      </c>
      <c r="F38" s="8" t="s">
        <v>11</v>
      </c>
      <c r="G38" s="9" t="s">
        <v>67</v>
      </c>
      <c r="H38" s="10"/>
    </row>
    <row r="39" customFormat="false" ht="19.5" hidden="false" customHeight="true" outlineLevel="0" collapsed="false">
      <c r="A39" s="11" t="s">
        <v>66</v>
      </c>
      <c r="B39" s="12" t="str">
        <f aca="false">HYPERLINK("https://leetcode.com/problems/subarray-sum-equals-k/", "560")</f>
        <v>560</v>
      </c>
      <c r="C39" s="13" t="str">
        <f aca="false">HYPERLINK("https://leetcode.com/problems/subarray-sum-equals-k/", "Subarray Sum Equals K")</f>
        <v>Subarray Sum Equals K</v>
      </c>
      <c r="D39" s="6" t="s">
        <v>9</v>
      </c>
      <c r="E39" s="15" t="s">
        <v>11</v>
      </c>
      <c r="F39" s="15" t="s">
        <v>11</v>
      </c>
      <c r="G39" s="16" t="s">
        <v>68</v>
      </c>
      <c r="H39" s="17"/>
    </row>
    <row r="40" customFormat="false" ht="19.5" hidden="false" customHeight="true" outlineLevel="0" collapsed="false">
      <c r="A40" s="3" t="s">
        <v>66</v>
      </c>
      <c r="B40" s="4" t="str">
        <f aca="false">HYPERLINK("https://leetcode.com/problems/find-pivot-index/", "724")</f>
        <v>724</v>
      </c>
      <c r="C40" s="5" t="str">
        <f aca="false">HYPERLINK("https://leetcode.com/problems/find-pivot-index/", "Find Pivot Index")</f>
        <v>Find Pivot Index</v>
      </c>
      <c r="D40" s="18" t="s">
        <v>35</v>
      </c>
      <c r="E40" s="8" t="s">
        <v>11</v>
      </c>
      <c r="F40" s="8" t="s">
        <v>11</v>
      </c>
      <c r="G40" s="9" t="s">
        <v>69</v>
      </c>
      <c r="H40" s="10"/>
    </row>
    <row r="41" customFormat="false" ht="19.5" hidden="false" customHeight="true" outlineLevel="0" collapsed="false">
      <c r="A41" s="11" t="s">
        <v>66</v>
      </c>
      <c r="B41" s="12" t="str">
        <f aca="false">HYPERLINK("https://leetcode.com/problems/binary-subarrays-with-sum/", "930")</f>
        <v>930</v>
      </c>
      <c r="C41" s="13" t="str">
        <f aca="false">HYPERLINK("https://leetcode.com/problems/binary-subarrays-with-sum/", "Binary Subarrays With Sum")</f>
        <v>Binary Subarrays With Sum</v>
      </c>
      <c r="D41" s="6" t="s">
        <v>9</v>
      </c>
      <c r="E41" s="15" t="s">
        <v>11</v>
      </c>
      <c r="F41" s="15" t="s">
        <v>11</v>
      </c>
      <c r="G41" s="16" t="s">
        <v>70</v>
      </c>
      <c r="H41" s="17"/>
    </row>
    <row r="42" customFormat="false" ht="19.5" hidden="false" customHeight="true" outlineLevel="0" collapsed="false">
      <c r="A42" s="3" t="s">
        <v>66</v>
      </c>
      <c r="B42" s="4" t="str">
        <f aca="false">HYPERLINK("https://leetcode.com/problems/subarray-sums-divisible-by-k/", "974")</f>
        <v>974</v>
      </c>
      <c r="C42" s="5" t="str">
        <f aca="false">HYPERLINK("https://leetcode.com/problems/subarray-sums-divisible-by-k/", "Subarray Sums Divisible by K")</f>
        <v>Subarray Sums Divisible by K</v>
      </c>
      <c r="D42" s="6" t="s">
        <v>9</v>
      </c>
      <c r="E42" s="8" t="s">
        <v>11</v>
      </c>
      <c r="F42" s="8" t="s">
        <v>11</v>
      </c>
      <c r="G42" s="9" t="s">
        <v>71</v>
      </c>
      <c r="H42" s="10"/>
    </row>
    <row r="43" customFormat="false" ht="19.5" hidden="false" customHeight="true" outlineLevel="0" collapsed="false">
      <c r="A43" s="11" t="s">
        <v>66</v>
      </c>
      <c r="B43" s="12" t="str">
        <f aca="false">HYPERLINK("https://leetcode.com/problems/continuous-subarray-sum/", "523")</f>
        <v>523</v>
      </c>
      <c r="C43" s="13" t="str">
        <f aca="false">HYPERLINK("https://leetcode.com/problems/continuous-subarray-sum/", "Continuous Subarray Sum")</f>
        <v>Continuous Subarray Sum</v>
      </c>
      <c r="D43" s="6" t="s">
        <v>9</v>
      </c>
      <c r="E43" s="15" t="s">
        <v>11</v>
      </c>
      <c r="F43" s="15" t="s">
        <v>11</v>
      </c>
      <c r="G43" s="16" t="s">
        <v>72</v>
      </c>
      <c r="H43" s="17"/>
    </row>
    <row r="44" customFormat="false" ht="19.5" hidden="false" customHeight="true" outlineLevel="0" collapsed="false">
      <c r="A44" s="3" t="s">
        <v>73</v>
      </c>
      <c r="B44" s="4" t="str">
        <f aca="false">HYPERLINK("https://leetcode.com/problems/range-addition/", "370")</f>
        <v>370</v>
      </c>
      <c r="C44" s="5" t="str">
        <f aca="false">HYPERLINK("https://leetcode.com/problems/range-addition/", "Range Addition")</f>
        <v>Range Addition</v>
      </c>
      <c r="D44" s="6" t="s">
        <v>9</v>
      </c>
      <c r="E44" s="8" t="s">
        <v>11</v>
      </c>
      <c r="F44" s="8" t="s">
        <v>11</v>
      </c>
      <c r="G44" s="9" t="s">
        <v>74</v>
      </c>
      <c r="H44" s="20" t="s">
        <v>56</v>
      </c>
    </row>
    <row r="45" customFormat="false" ht="19.5" hidden="false" customHeight="true" outlineLevel="0" collapsed="false">
      <c r="A45" s="11" t="s">
        <v>73</v>
      </c>
      <c r="B45" s="12" t="str">
        <f aca="false">HYPERLINK("https://leetcode.com/problems/car-pooling/", "1094")</f>
        <v>1094</v>
      </c>
      <c r="C45" s="13" t="str">
        <f aca="false">HYPERLINK("https://leetcode.com/problems/car-pooling/", "Car Pooling")</f>
        <v>Car Pooling</v>
      </c>
      <c r="D45" s="6" t="s">
        <v>9</v>
      </c>
      <c r="E45" s="15" t="s">
        <v>11</v>
      </c>
      <c r="F45" s="15" t="s">
        <v>11</v>
      </c>
      <c r="G45" s="16" t="s">
        <v>75</v>
      </c>
      <c r="H45" s="17"/>
    </row>
    <row r="46" customFormat="false" ht="19.5" hidden="false" customHeight="true" outlineLevel="0" collapsed="false">
      <c r="A46" s="3" t="s">
        <v>73</v>
      </c>
      <c r="B46" s="4" t="str">
        <f aca="false">HYPERLINK("https://leetcode.com/problems/corporate-flight-bookings/", "1109")</f>
        <v>1109</v>
      </c>
      <c r="C46" s="5" t="str">
        <f aca="false">HYPERLINK("https://leetcode.com/problems/corporate-flight-bookings/", "Corporate Flight Bookings")</f>
        <v>Corporate Flight Bookings</v>
      </c>
      <c r="D46" s="6" t="s">
        <v>9</v>
      </c>
      <c r="E46" s="8" t="s">
        <v>11</v>
      </c>
      <c r="F46" s="8" t="s">
        <v>11</v>
      </c>
      <c r="G46" s="9" t="s">
        <v>76</v>
      </c>
      <c r="H46" s="10"/>
    </row>
    <row r="47" customFormat="false" ht="19.5" hidden="false" customHeight="true" outlineLevel="0" collapsed="false">
      <c r="A47" s="11" t="s">
        <v>73</v>
      </c>
      <c r="B47" s="12" t="str">
        <f aca="false">HYPERLINK("https://leetcode.com/problems/check-if-all-the-integers-in-a-range-are-covered/", "1893")</f>
        <v>1893</v>
      </c>
      <c r="C47" s="13" t="str">
        <f aca="false">HYPERLINK("https://leetcode.com/problems/check-if-all-the-integers-in-a-range-are-covered/", "Check if All the Integers in a Range Are Covered")</f>
        <v>Check if All the Integers in a Range Are Covered</v>
      </c>
      <c r="D47" s="18" t="s">
        <v>35</v>
      </c>
      <c r="E47" s="15" t="s">
        <v>11</v>
      </c>
      <c r="F47" s="15" t="s">
        <v>11</v>
      </c>
      <c r="G47" s="16" t="s">
        <v>77</v>
      </c>
      <c r="H47" s="17"/>
    </row>
    <row r="48" customFormat="false" ht="19.5" hidden="false" customHeight="true" outlineLevel="0" collapsed="false">
      <c r="A48" s="3" t="s">
        <v>73</v>
      </c>
      <c r="B48" s="4" t="str">
        <f aca="false">HYPERLINK("https://leetcode.com/problems/describe-the-painting/", "1943")</f>
        <v>1943</v>
      </c>
      <c r="C48" s="5" t="str">
        <f aca="false">HYPERLINK("https://leetcode.com/problems/describe-the-painting/", "Describe the Painting")</f>
        <v>Describe the Painting</v>
      </c>
      <c r="D48" s="6" t="s">
        <v>9</v>
      </c>
      <c r="E48" s="8" t="s">
        <v>11</v>
      </c>
      <c r="F48" s="8" t="s">
        <v>11</v>
      </c>
      <c r="G48" s="9" t="s">
        <v>78</v>
      </c>
      <c r="H48" s="10"/>
    </row>
    <row r="49" customFormat="false" ht="19.5" hidden="false" customHeight="true" outlineLevel="0" collapsed="false">
      <c r="A49" s="11" t="s">
        <v>73</v>
      </c>
      <c r="B49" s="12" t="str">
        <f aca="false">HYPERLINK("https://leetcode.com/problems/shifting-letters-ii/", "2381")</f>
        <v>2381</v>
      </c>
      <c r="C49" s="13" t="str">
        <f aca="false">HYPERLINK("https://leetcode.com/problems/shifting-letters-ii/", "Shifting Letters II")</f>
        <v>Shifting Letters II</v>
      </c>
      <c r="D49" s="6" t="s">
        <v>9</v>
      </c>
      <c r="E49" s="15" t="s">
        <v>11</v>
      </c>
      <c r="F49" s="15" t="s">
        <v>11</v>
      </c>
      <c r="G49" s="16" t="s">
        <v>79</v>
      </c>
      <c r="H49" s="17"/>
    </row>
    <row r="50" customFormat="false" ht="19.5" hidden="false" customHeight="true" outlineLevel="0" collapsed="false">
      <c r="A50" s="3" t="s">
        <v>80</v>
      </c>
      <c r="B50" s="4" t="str">
        <f aca="false">HYPERLINK("https://leetcode.com/problems/daily-temperatures/", "739")</f>
        <v>739</v>
      </c>
      <c r="C50" s="5" t="str">
        <f aca="false">HYPERLINK("https://leetcode.com/problems/daily-temperatures/", "Daily Temperatures")</f>
        <v>Daily Temperatures</v>
      </c>
      <c r="D50" s="6" t="s">
        <v>9</v>
      </c>
      <c r="E50" s="8" t="s">
        <v>11</v>
      </c>
      <c r="F50" s="8" t="s">
        <v>11</v>
      </c>
      <c r="G50" s="9" t="s">
        <v>81</v>
      </c>
      <c r="H50" s="10"/>
    </row>
    <row r="51" customFormat="false" ht="19.5" hidden="false" customHeight="true" outlineLevel="0" collapsed="false">
      <c r="A51" s="11" t="s">
        <v>80</v>
      </c>
      <c r="B51" s="12" t="str">
        <f aca="false">HYPERLINK("https://leetcode.com/problems/next-greater-element-i/", "496")</f>
        <v>496</v>
      </c>
      <c r="C51" s="13" t="str">
        <f aca="false">HYPERLINK("https://leetcode.com/problems/next-greater-element-i/", "Next Greater Element I")</f>
        <v>Next Greater Element I</v>
      </c>
      <c r="D51" s="18" t="s">
        <v>35</v>
      </c>
      <c r="E51" s="15" t="s">
        <v>11</v>
      </c>
      <c r="F51" s="15" t="s">
        <v>11</v>
      </c>
      <c r="G51" s="16" t="s">
        <v>82</v>
      </c>
      <c r="H51" s="17"/>
    </row>
    <row r="52" customFormat="false" ht="19.5" hidden="false" customHeight="true" outlineLevel="0" collapsed="false">
      <c r="A52" s="3" t="s">
        <v>80</v>
      </c>
      <c r="B52" s="4" t="str">
        <f aca="false">HYPERLINK("https://leetcode.com/problems/next-greater-element-ii/", "503")</f>
        <v>503</v>
      </c>
      <c r="C52" s="5" t="str">
        <f aca="false">HYPERLINK("https://leetcode.com/problems/next-greater-element-ii/", "Next Greater Element II")</f>
        <v>Next Greater Element II</v>
      </c>
      <c r="D52" s="6" t="s">
        <v>9</v>
      </c>
      <c r="E52" s="8" t="s">
        <v>11</v>
      </c>
      <c r="F52" s="8" t="s">
        <v>11</v>
      </c>
      <c r="G52" s="9" t="s">
        <v>83</v>
      </c>
      <c r="H52" s="10"/>
    </row>
    <row r="53" customFormat="false" ht="19.5" hidden="false" customHeight="true" outlineLevel="0" collapsed="false">
      <c r="A53" s="11" t="s">
        <v>80</v>
      </c>
      <c r="B53" s="12" t="str">
        <f aca="false">HYPERLINK("https://leetcode.com/problems/largest-rectangle-in-histogram/", "84")</f>
        <v>84</v>
      </c>
      <c r="C53" s="13" t="str">
        <f aca="false">HYPERLINK("https://leetcode.com/problems/largest-rectangle-in-histogram/", "Largest Rectangle in Histogram")</f>
        <v>Largest Rectangle in Histogram</v>
      </c>
      <c r="D53" s="14" t="s">
        <v>14</v>
      </c>
      <c r="E53" s="15" t="s">
        <v>11</v>
      </c>
      <c r="F53" s="15" t="s">
        <v>11</v>
      </c>
      <c r="G53" s="16" t="s">
        <v>84</v>
      </c>
      <c r="H53" s="17"/>
    </row>
    <row r="54" customFormat="false" ht="19.5" hidden="false" customHeight="true" outlineLevel="0" collapsed="false">
      <c r="A54" s="3" t="s">
        <v>80</v>
      </c>
      <c r="B54" s="4" t="str">
        <f aca="false">HYPERLINK("https://leetcode.com/problems/maximal-rectangle/", "85")</f>
        <v>85</v>
      </c>
      <c r="C54" s="5" t="str">
        <f aca="false">HYPERLINK("https://leetcode.com/problems/maximal-rectangle/", "Maximal Rectangle")</f>
        <v>Maximal Rectangle</v>
      </c>
      <c r="D54" s="14" t="s">
        <v>14</v>
      </c>
      <c r="E54" s="8" t="s">
        <v>11</v>
      </c>
      <c r="F54" s="8" t="s">
        <v>11</v>
      </c>
      <c r="G54" s="9" t="s">
        <v>85</v>
      </c>
      <c r="H54" s="10"/>
    </row>
    <row r="55" customFormat="false" ht="19.5" hidden="false" customHeight="true" outlineLevel="0" collapsed="false">
      <c r="A55" s="11" t="s">
        <v>80</v>
      </c>
      <c r="B55" s="12" t="str">
        <f aca="false">HYPERLINK("https://leetcode.com/problems/online-stock-span/", "901")</f>
        <v>901</v>
      </c>
      <c r="C55" s="13" t="str">
        <f aca="false">HYPERLINK("https://leetcode.com/problems/online-stock-span/", "Online Stock Span")</f>
        <v>Online Stock Span</v>
      </c>
      <c r="D55" s="6" t="s">
        <v>9</v>
      </c>
      <c r="E55" s="15" t="s">
        <v>11</v>
      </c>
      <c r="F55" s="15" t="s">
        <v>11</v>
      </c>
      <c r="G55" s="16" t="s">
        <v>86</v>
      </c>
      <c r="H55" s="17"/>
    </row>
    <row r="56" customFormat="false" ht="19.5" hidden="false" customHeight="true" outlineLevel="0" collapsed="false">
      <c r="A56" s="3" t="s">
        <v>87</v>
      </c>
      <c r="B56" s="4" t="str">
        <f aca="false">HYPERLINK("https://leetcode.com/problems/sliding-window-maximum/", "239")</f>
        <v>239</v>
      </c>
      <c r="C56" s="5" t="str">
        <f aca="false">HYPERLINK("https://leetcode.com/problems/sliding-window-maximum/", "Sliding Window Maximum")</f>
        <v>Sliding Window Maximum</v>
      </c>
      <c r="D56" s="14" t="s">
        <v>14</v>
      </c>
      <c r="E56" s="8" t="s">
        <v>11</v>
      </c>
      <c r="F56" s="8" t="s">
        <v>11</v>
      </c>
      <c r="G56" s="9" t="s">
        <v>88</v>
      </c>
      <c r="H56" s="10"/>
    </row>
    <row r="57" customFormat="false" ht="19.5" hidden="false" customHeight="true" outlineLevel="0" collapsed="false">
      <c r="A57" s="11" t="s">
        <v>87</v>
      </c>
      <c r="B57" s="12" t="str">
        <f aca="false">HYPERLINK("https://leetcode.com/problems/shortest-subarray-with-sum-at-least-k/", "862")</f>
        <v>862</v>
      </c>
      <c r="C57" s="13" t="str">
        <f aca="false">HYPERLINK("https://leetcode.com/problems/shortest-subarray-with-sum-at-least-k/", "Shortest Subarray with Sum at Least K")</f>
        <v>Shortest Subarray with Sum at Least K</v>
      </c>
      <c r="D57" s="14" t="s">
        <v>14</v>
      </c>
      <c r="E57" s="15" t="s">
        <v>11</v>
      </c>
      <c r="F57" s="15" t="s">
        <v>11</v>
      </c>
      <c r="G57" s="16" t="s">
        <v>89</v>
      </c>
      <c r="H57" s="17"/>
    </row>
    <row r="58" customFormat="false" ht="19.5" hidden="false" customHeight="true" outlineLevel="0" collapsed="false">
      <c r="A58" s="3" t="s">
        <v>87</v>
      </c>
      <c r="B58" s="4" t="str">
        <f aca="false">HYPERLINK("https://leetcode.com/problems/constrained-subsequence-sum/", "1425")</f>
        <v>1425</v>
      </c>
      <c r="C58" s="5" t="str">
        <f aca="false">HYPERLINK("https://leetcode.com/problems/constrained-subsequence-sum/", "Constrained Subsequence Sum")</f>
        <v>Constrained Subsequence Sum</v>
      </c>
      <c r="D58" s="14" t="s">
        <v>14</v>
      </c>
      <c r="E58" s="8" t="s">
        <v>11</v>
      </c>
      <c r="F58" s="8" t="s">
        <v>11</v>
      </c>
      <c r="G58" s="9" t="s">
        <v>90</v>
      </c>
      <c r="H58" s="10"/>
    </row>
    <row r="59" customFormat="false" ht="19.5" hidden="false" customHeight="true" outlineLevel="0" collapsed="false">
      <c r="A59" s="11" t="s">
        <v>87</v>
      </c>
      <c r="B59" s="12" t="str">
        <f aca="false">HYPERLINK("https://leetcode.com/problems/longest-continuous-subarray-with-absolute-diff-less-than-or-equal-to-limit/", "1438")</f>
        <v>1438</v>
      </c>
      <c r="C59" s="13" t="str">
        <f aca="false">HYPERLINK("https://leetcode.com/problems/longest-continuous-subarray-with-absolute-diff-less-than-or-equal-to-limit/", "Longest Continuous Subarray With Absolute Diff Less Than or Equal to Limit")</f>
        <v>Longest Continuous Subarray With Absolute Diff Less Than or Equal to Limit</v>
      </c>
      <c r="D59" s="6" t="s">
        <v>9</v>
      </c>
      <c r="E59" s="15" t="s">
        <v>11</v>
      </c>
      <c r="F59" s="15" t="s">
        <v>11</v>
      </c>
      <c r="G59" s="16" t="s">
        <v>91</v>
      </c>
      <c r="H59" s="17"/>
    </row>
    <row r="60" customFormat="false" ht="19.5" hidden="false" customHeight="true" outlineLevel="0" collapsed="false">
      <c r="A60" s="3" t="s">
        <v>87</v>
      </c>
      <c r="B60" s="4" t="str">
        <f aca="false">HYPERLINK("https://leetcode.com/problems/max-value-of-equation/", "1499")</f>
        <v>1499</v>
      </c>
      <c r="C60" s="5" t="str">
        <f aca="false">HYPERLINK("https://leetcode.com/problems/max-value-of-equation/", "Max Value of Equation")</f>
        <v>Max Value of Equation</v>
      </c>
      <c r="D60" s="14" t="s">
        <v>14</v>
      </c>
      <c r="E60" s="8" t="s">
        <v>11</v>
      </c>
      <c r="F60" s="8" t="s">
        <v>11</v>
      </c>
      <c r="G60" s="9" t="s">
        <v>92</v>
      </c>
      <c r="H60" s="10"/>
    </row>
    <row r="61" customFormat="false" ht="19.5" hidden="false" customHeight="true" outlineLevel="0" collapsed="false">
      <c r="A61" s="11" t="s">
        <v>87</v>
      </c>
      <c r="B61" s="12" t="str">
        <f aca="false">HYPERLINK("https://leetcode.com/problems/jump-game-vi/", "1696")</f>
        <v>1696</v>
      </c>
      <c r="C61" s="13" t="str">
        <f aca="false">HYPERLINK("https://leetcode.com/problems/jump-game-vi/", "Jump Game VI")</f>
        <v>Jump Game VI</v>
      </c>
      <c r="D61" s="6" t="s">
        <v>9</v>
      </c>
      <c r="E61" s="15" t="s">
        <v>11</v>
      </c>
      <c r="F61" s="15" t="s">
        <v>11</v>
      </c>
      <c r="G61" s="16" t="s">
        <v>93</v>
      </c>
      <c r="H61" s="17"/>
    </row>
    <row r="62" customFormat="false" ht="19.5" hidden="false" customHeight="true" outlineLevel="0" collapsed="false">
      <c r="A62" s="3" t="s">
        <v>94</v>
      </c>
      <c r="B62" s="4" t="str">
        <f aca="false">HYPERLINK("https://leetcode.com/problems/kth-largest-element-in-an-array/", "215")</f>
        <v>215</v>
      </c>
      <c r="C62" s="5" t="str">
        <f aca="false">HYPERLINK("https://leetcode.com/problems/kth-largest-element-in-an-array/", "Kth Largest Element in an Array")</f>
        <v>Kth Largest Element in an Array</v>
      </c>
      <c r="D62" s="6" t="s">
        <v>9</v>
      </c>
      <c r="E62" s="8" t="s">
        <v>11</v>
      </c>
      <c r="F62" s="8" t="s">
        <v>11</v>
      </c>
      <c r="G62" s="9" t="s">
        <v>95</v>
      </c>
      <c r="H62" s="10"/>
    </row>
    <row r="63" customFormat="false" ht="19.5" hidden="false" customHeight="true" outlineLevel="0" collapsed="false">
      <c r="A63" s="11" t="s">
        <v>94</v>
      </c>
      <c r="B63" s="12" t="str">
        <f aca="false">HYPERLINK("https://leetcode.com/problems/top-k-frequent-elements/", "347")</f>
        <v>347</v>
      </c>
      <c r="C63" s="13" t="str">
        <f aca="false">HYPERLINK("https://leetcode.com/problems/top-k-frequent-elements/", "Top K Frequent Elements")</f>
        <v>Top K Frequent Elements</v>
      </c>
      <c r="D63" s="6" t="s">
        <v>9</v>
      </c>
      <c r="E63" s="15" t="s">
        <v>11</v>
      </c>
      <c r="F63" s="15" t="s">
        <v>11</v>
      </c>
      <c r="G63" s="16" t="s">
        <v>65</v>
      </c>
      <c r="H63" s="17"/>
    </row>
    <row r="64" customFormat="false" ht="19.5" hidden="false" customHeight="true" outlineLevel="0" collapsed="false">
      <c r="A64" s="3" t="s">
        <v>94</v>
      </c>
      <c r="B64" s="4" t="str">
        <f aca="false">HYPERLINK("https://leetcode.com/problems/top-k-frequent-words/", "692")</f>
        <v>692</v>
      </c>
      <c r="C64" s="5" t="str">
        <f aca="false">HYPERLINK("https://leetcode.com/problems/top-k-frequent-words/", "Top K Frequent Words")</f>
        <v>Top K Frequent Words</v>
      </c>
      <c r="D64" s="6" t="s">
        <v>9</v>
      </c>
      <c r="E64" s="8" t="s">
        <v>11</v>
      </c>
      <c r="F64" s="8" t="s">
        <v>11</v>
      </c>
      <c r="G64" s="9" t="s">
        <v>96</v>
      </c>
      <c r="H64" s="10"/>
    </row>
    <row r="65" customFormat="false" ht="19.5" hidden="false" customHeight="true" outlineLevel="0" collapsed="false">
      <c r="A65" s="11" t="s">
        <v>94</v>
      </c>
      <c r="B65" s="12" t="str">
        <f aca="false">HYPERLINK("https://leetcode.com/problems/kth-largest-element-in-a-stream/", "703")</f>
        <v>703</v>
      </c>
      <c r="C65" s="13" t="str">
        <f aca="false">HYPERLINK("https://leetcode.com/problems/kth-largest-element-in-a-stream/", "Kth Largest Element in a Stream")</f>
        <v>Kth Largest Element in a Stream</v>
      </c>
      <c r="D65" s="18" t="s">
        <v>35</v>
      </c>
      <c r="E65" s="15" t="s">
        <v>11</v>
      </c>
      <c r="F65" s="15" t="s">
        <v>11</v>
      </c>
      <c r="G65" s="16" t="s">
        <v>97</v>
      </c>
      <c r="H65" s="17"/>
    </row>
    <row r="66" customFormat="false" ht="19.5" hidden="false" customHeight="true" outlineLevel="0" collapsed="false">
      <c r="A66" s="3" t="s">
        <v>94</v>
      </c>
      <c r="B66" s="4" t="str">
        <f aca="false">HYPERLINK("https://leetcode.com/problems/k-closest-points-to-origin/", "973")</f>
        <v>973</v>
      </c>
      <c r="C66" s="5" t="str">
        <f aca="false">HYPERLINK("https://leetcode.com/problems/k-closest-points-to-origin/", "K Closest Points to Origin")</f>
        <v>K Closest Points to Origin</v>
      </c>
      <c r="D66" s="6" t="s">
        <v>9</v>
      </c>
      <c r="E66" s="8" t="s">
        <v>11</v>
      </c>
      <c r="F66" s="8" t="s">
        <v>11</v>
      </c>
      <c r="G66" s="9" t="s">
        <v>98</v>
      </c>
      <c r="H66" s="10"/>
    </row>
    <row r="67" customFormat="false" ht="19.5" hidden="false" customHeight="true" outlineLevel="0" collapsed="false">
      <c r="A67" s="11" t="s">
        <v>94</v>
      </c>
      <c r="B67" s="12" t="str">
        <f aca="false">HYPERLINK("https://leetcode.com/problems/last-stone-weight/", "1046")</f>
        <v>1046</v>
      </c>
      <c r="C67" s="13" t="str">
        <f aca="false">HYPERLINK("https://leetcode.com/problems/last-stone-weight/", "Last Stone Weight")</f>
        <v>Last Stone Weight</v>
      </c>
      <c r="D67" s="18" t="s">
        <v>35</v>
      </c>
      <c r="E67" s="15" t="s">
        <v>11</v>
      </c>
      <c r="F67" s="15" t="s">
        <v>11</v>
      </c>
      <c r="G67" s="16" t="s">
        <v>99</v>
      </c>
      <c r="H67" s="17"/>
    </row>
    <row r="68" customFormat="false" ht="19.5" hidden="false" customHeight="true" outlineLevel="0" collapsed="false">
      <c r="A68" s="3" t="s">
        <v>100</v>
      </c>
      <c r="B68" s="4" t="str">
        <f aca="false">HYPERLINK("https://leetcode.com/problems/merge-intervals/", "56")</f>
        <v>56</v>
      </c>
      <c r="C68" s="5" t="str">
        <f aca="false">HYPERLINK("https://leetcode.com/problems/merge-intervals/", "Merge Intervals")</f>
        <v>Merge Intervals</v>
      </c>
      <c r="D68" s="6" t="s">
        <v>9</v>
      </c>
      <c r="E68" s="8" t="s">
        <v>11</v>
      </c>
      <c r="F68" s="8" t="s">
        <v>11</v>
      </c>
      <c r="G68" s="9" t="s">
        <v>101</v>
      </c>
      <c r="H68" s="10"/>
    </row>
    <row r="69" customFormat="false" ht="19.5" hidden="false" customHeight="true" outlineLevel="0" collapsed="false">
      <c r="A69" s="11" t="s">
        <v>100</v>
      </c>
      <c r="B69" s="12" t="str">
        <f aca="false">HYPERLINK("https://leetcode.com/problems/insert-interval/", "57")</f>
        <v>57</v>
      </c>
      <c r="C69" s="13" t="str">
        <f aca="false">HYPERLINK("https://leetcode.com/problems/insert-interval/", "Insert Interval")</f>
        <v>Insert Interval</v>
      </c>
      <c r="D69" s="6" t="s">
        <v>9</v>
      </c>
      <c r="E69" s="15" t="s">
        <v>11</v>
      </c>
      <c r="F69" s="15" t="s">
        <v>11</v>
      </c>
      <c r="G69" s="16" t="s">
        <v>102</v>
      </c>
      <c r="H69" s="17"/>
    </row>
    <row r="70" customFormat="false" ht="19.5" hidden="false" customHeight="true" outlineLevel="0" collapsed="false">
      <c r="A70" s="3" t="s">
        <v>100</v>
      </c>
      <c r="B70" s="4" t="str">
        <f aca="false">HYPERLINK("https://leetcode.com/problems/meeting-rooms/", "252")</f>
        <v>252</v>
      </c>
      <c r="C70" s="5" t="str">
        <f aca="false">HYPERLINK("https://leetcode.com/problems/meeting-rooms/", "Meeting Rooms")</f>
        <v>Meeting Rooms</v>
      </c>
      <c r="D70" s="18" t="s">
        <v>35</v>
      </c>
      <c r="E70" s="8" t="s">
        <v>11</v>
      </c>
      <c r="F70" s="8" t="s">
        <v>11</v>
      </c>
      <c r="G70" s="9" t="s">
        <v>103</v>
      </c>
      <c r="H70" s="20" t="s">
        <v>56</v>
      </c>
    </row>
    <row r="71" customFormat="false" ht="19.5" hidden="false" customHeight="true" outlineLevel="0" collapsed="false">
      <c r="A71" s="11" t="s">
        <v>100</v>
      </c>
      <c r="B71" s="12" t="str">
        <f aca="false">HYPERLINK("https://leetcode.com/problems/meeting-rooms-ii/", "253")</f>
        <v>253</v>
      </c>
      <c r="C71" s="13" t="str">
        <f aca="false">HYPERLINK("https://leetcode.com/problems/meeting-rooms-ii/", "Meeting Rooms II")</f>
        <v>Meeting Rooms II</v>
      </c>
      <c r="D71" s="6" t="s">
        <v>9</v>
      </c>
      <c r="E71" s="15" t="s">
        <v>11</v>
      </c>
      <c r="F71" s="15" t="s">
        <v>11</v>
      </c>
      <c r="G71" s="16" t="s">
        <v>104</v>
      </c>
      <c r="H71" s="19" t="s">
        <v>56</v>
      </c>
    </row>
    <row r="72" customFormat="false" ht="19.5" hidden="false" customHeight="true" outlineLevel="0" collapsed="false">
      <c r="A72" s="3" t="s">
        <v>100</v>
      </c>
      <c r="B72" s="4" t="str">
        <f aca="false">HYPERLINK("https://leetcode.com/problems/non-overlapping-intervals/", "435")</f>
        <v>435</v>
      </c>
      <c r="C72" s="5" t="str">
        <f aca="false">HYPERLINK("https://leetcode.com/problems/non-overlapping-intervals/", "Non-overlapping Intervals")</f>
        <v>Non-overlapping Intervals</v>
      </c>
      <c r="D72" s="6" t="s">
        <v>9</v>
      </c>
      <c r="E72" s="8" t="s">
        <v>11</v>
      </c>
      <c r="F72" s="8" t="s">
        <v>11</v>
      </c>
      <c r="G72" s="9" t="s">
        <v>105</v>
      </c>
      <c r="H72" s="10"/>
    </row>
    <row r="73" customFormat="false" ht="19.5" hidden="false" customHeight="true" outlineLevel="0" collapsed="false">
      <c r="A73" s="11" t="s">
        <v>100</v>
      </c>
      <c r="B73" s="12" t="str">
        <f aca="false">HYPERLINK("https://leetcode.com/problems/minimum-number-of-arrows-to-burst-balloons/", "452")</f>
        <v>452</v>
      </c>
      <c r="C73" s="13" t="str">
        <f aca="false">HYPERLINK("https://leetcode.com/problems/minimum-number-of-arrows-to-burst-balloons/", "Minimum Number of Arrows to Burst Balloons")</f>
        <v>Minimum Number of Arrows to Burst Balloons</v>
      </c>
      <c r="D73" s="6" t="s">
        <v>9</v>
      </c>
      <c r="E73" s="15" t="s">
        <v>11</v>
      </c>
      <c r="F73" s="15" t="s">
        <v>11</v>
      </c>
      <c r="G73" s="16" t="s">
        <v>106</v>
      </c>
      <c r="H73" s="17"/>
    </row>
    <row r="74" customFormat="false" ht="19.5" hidden="false" customHeight="true" outlineLevel="0" collapsed="false">
      <c r="A74" s="3" t="s">
        <v>107</v>
      </c>
      <c r="B74" s="4" t="str">
        <f aca="false">HYPERLINK("https://leetcode.com/problems/jump-game-ii/", "45")</f>
        <v>45</v>
      </c>
      <c r="C74" s="5" t="str">
        <f aca="false">HYPERLINK("https://leetcode.com/problems/jump-game-ii/", "Jump Game II")</f>
        <v>Jump Game II</v>
      </c>
      <c r="D74" s="6" t="s">
        <v>9</v>
      </c>
      <c r="E74" s="8" t="s">
        <v>11</v>
      </c>
      <c r="F74" s="8" t="s">
        <v>11</v>
      </c>
      <c r="G74" s="9" t="s">
        <v>108</v>
      </c>
      <c r="H74" s="10"/>
    </row>
    <row r="75" customFormat="false" ht="19.5" hidden="false" customHeight="true" outlineLevel="0" collapsed="false">
      <c r="A75" s="11" t="s">
        <v>107</v>
      </c>
      <c r="B75" s="12" t="str">
        <f aca="false">HYPERLINK("https://leetcode.com/problems/jump-game/", "55")</f>
        <v>55</v>
      </c>
      <c r="C75" s="13" t="str">
        <f aca="false">HYPERLINK("https://leetcode.com/problems/jump-game/", "Jump Game")</f>
        <v>Jump Game</v>
      </c>
      <c r="D75" s="6" t="s">
        <v>9</v>
      </c>
      <c r="E75" s="15" t="s">
        <v>11</v>
      </c>
      <c r="F75" s="15" t="s">
        <v>11</v>
      </c>
      <c r="G75" s="16" t="s">
        <v>109</v>
      </c>
      <c r="H75" s="17"/>
    </row>
    <row r="76" customFormat="false" ht="19.5" hidden="false" customHeight="true" outlineLevel="0" collapsed="false">
      <c r="A76" s="3" t="s">
        <v>107</v>
      </c>
      <c r="B76" s="4" t="str">
        <f aca="false">HYPERLINK("https://leetcode.com/problems/queue-reconstruction-by-height/", "406")</f>
        <v>406</v>
      </c>
      <c r="C76" s="5" t="str">
        <f aca="false">HYPERLINK("https://leetcode.com/problems/queue-reconstruction-by-height/", "Queue Reconstruction by Height")</f>
        <v>Queue Reconstruction by Height</v>
      </c>
      <c r="D76" s="6" t="s">
        <v>9</v>
      </c>
      <c r="E76" s="8" t="s">
        <v>11</v>
      </c>
      <c r="F76" s="8" t="s">
        <v>11</v>
      </c>
      <c r="G76" s="9" t="s">
        <v>110</v>
      </c>
      <c r="H76" s="10"/>
    </row>
    <row r="77" customFormat="false" ht="19.5" hidden="false" customHeight="true" outlineLevel="0" collapsed="false">
      <c r="A77" s="11" t="s">
        <v>107</v>
      </c>
      <c r="B77" s="12" t="str">
        <f aca="false">HYPERLINK("https://leetcode.com/problems/task-scheduler/", "621")</f>
        <v>621</v>
      </c>
      <c r="C77" s="13" t="str">
        <f aca="false">HYPERLINK("https://leetcode.com/problems/task-scheduler/", "Task Scheduler")</f>
        <v>Task Scheduler</v>
      </c>
      <c r="D77" s="6" t="s">
        <v>9</v>
      </c>
      <c r="E77" s="15" t="s">
        <v>11</v>
      </c>
      <c r="F77" s="15" t="s">
        <v>11</v>
      </c>
      <c r="G77" s="16" t="s">
        <v>111</v>
      </c>
      <c r="H77" s="17"/>
    </row>
    <row r="78" customFormat="false" ht="19.5" hidden="false" customHeight="true" outlineLevel="0" collapsed="false">
      <c r="A78" s="3" t="s">
        <v>107</v>
      </c>
      <c r="B78" s="4" t="str">
        <f aca="false">HYPERLINK("https://leetcode.com/problems/partition-labels/", "763")</f>
        <v>763</v>
      </c>
      <c r="C78" s="5" t="str">
        <f aca="false">HYPERLINK("https://leetcode.com/problems/partition-labels/", "Partition Labels")</f>
        <v>Partition Labels</v>
      </c>
      <c r="D78" s="6" t="s">
        <v>9</v>
      </c>
      <c r="E78" s="8" t="s">
        <v>11</v>
      </c>
      <c r="F78" s="8" t="s">
        <v>11</v>
      </c>
      <c r="G78" s="9" t="s">
        <v>112</v>
      </c>
      <c r="H78" s="10"/>
    </row>
    <row r="79" customFormat="false" ht="19.5" hidden="false" customHeight="true" outlineLevel="0" collapsed="false">
      <c r="A79" s="11" t="s">
        <v>107</v>
      </c>
      <c r="B79" s="12" t="str">
        <f aca="false">HYPERLINK("https://leetcode.com/problems/gas-station/", "134")</f>
        <v>134</v>
      </c>
      <c r="C79" s="13" t="str">
        <f aca="false">HYPERLINK("https://leetcode.com/problems/gas-station/", "Gas Station")</f>
        <v>Gas Station</v>
      </c>
      <c r="D79" s="6" t="s">
        <v>9</v>
      </c>
      <c r="E79" s="15" t="s">
        <v>11</v>
      </c>
      <c r="F79" s="15" t="s">
        <v>11</v>
      </c>
      <c r="G79" s="16" t="s">
        <v>113</v>
      </c>
      <c r="H79" s="17"/>
    </row>
    <row r="80" customFormat="false" ht="19.5" hidden="false" customHeight="true" outlineLevel="0" collapsed="false">
      <c r="A80" s="3" t="s">
        <v>114</v>
      </c>
      <c r="B80" s="4" t="str">
        <f aca="false">HYPERLINK("https://leetcode.com/problems/merge-two-sorted-lists/", "21")</f>
        <v>21</v>
      </c>
      <c r="C80" s="5" t="str">
        <f aca="false">HYPERLINK("https://leetcode.com/problems/merge-two-sorted-lists/", "Merge Two Sorted Lists")</f>
        <v>Merge Two Sorted Lists</v>
      </c>
      <c r="D80" s="18" t="s">
        <v>35</v>
      </c>
      <c r="E80" s="8" t="s">
        <v>11</v>
      </c>
      <c r="F80" s="8" t="s">
        <v>11</v>
      </c>
      <c r="G80" s="9" t="s">
        <v>115</v>
      </c>
      <c r="H80" s="10"/>
    </row>
    <row r="81" customFormat="false" ht="19.5" hidden="false" customHeight="true" outlineLevel="0" collapsed="false">
      <c r="A81" s="11" t="s">
        <v>114</v>
      </c>
      <c r="B81" s="12" t="str">
        <f aca="false">HYPERLINK("https://leetcode.com/problems/merge-k-sorted-lists/", "23")</f>
        <v>23</v>
      </c>
      <c r="C81" s="13" t="str">
        <f aca="false">HYPERLINK("https://leetcode.com/problems/merge-k-sorted-lists/", "Merge k Sorted Lists")</f>
        <v>Merge k Sorted Lists</v>
      </c>
      <c r="D81" s="14" t="s">
        <v>14</v>
      </c>
      <c r="E81" s="15" t="s">
        <v>11</v>
      </c>
      <c r="F81" s="15" t="s">
        <v>11</v>
      </c>
      <c r="G81" s="16" t="s">
        <v>116</v>
      </c>
      <c r="H81" s="17"/>
    </row>
    <row r="82" customFormat="false" ht="19.5" hidden="false" customHeight="true" outlineLevel="0" collapsed="false">
      <c r="A82" s="3" t="s">
        <v>114</v>
      </c>
      <c r="B82" s="4" t="str">
        <f aca="false">HYPERLINK("https://leetcode.com/problems/swap-nodes-in-pairs/", "24")</f>
        <v>24</v>
      </c>
      <c r="C82" s="5" t="str">
        <f aca="false">HYPERLINK("https://leetcode.com/problems/swap-nodes-in-pairs/", "Swap Nodes in Pairs")</f>
        <v>Swap Nodes in Pairs</v>
      </c>
      <c r="D82" s="6" t="s">
        <v>9</v>
      </c>
      <c r="E82" s="8" t="s">
        <v>11</v>
      </c>
      <c r="F82" s="8" t="s">
        <v>11</v>
      </c>
      <c r="G82" s="9" t="s">
        <v>117</v>
      </c>
      <c r="H82" s="10"/>
    </row>
    <row r="83" customFormat="false" ht="19.5" hidden="false" customHeight="true" outlineLevel="0" collapsed="false">
      <c r="A83" s="11" t="s">
        <v>114</v>
      </c>
      <c r="B83" s="12" t="str">
        <f aca="false">HYPERLINK("https://leetcode.com/problems/reverse-nodes-in-k-group/", "25")</f>
        <v>25</v>
      </c>
      <c r="C83" s="13" t="str">
        <f aca="false">HYPERLINK("https://leetcode.com/problems/reverse-nodes-in-k-group/", "Reverse Nodes in k-Group")</f>
        <v>Reverse Nodes in k-Group</v>
      </c>
      <c r="D83" s="14" t="s">
        <v>14</v>
      </c>
      <c r="E83" s="15" t="s">
        <v>11</v>
      </c>
      <c r="F83" s="15" t="s">
        <v>11</v>
      </c>
      <c r="G83" s="16" t="s">
        <v>118</v>
      </c>
      <c r="H83" s="17"/>
    </row>
    <row r="84" customFormat="false" ht="19.5" hidden="false" customHeight="true" outlineLevel="0" collapsed="false">
      <c r="A84" s="3" t="s">
        <v>114</v>
      </c>
      <c r="B84" s="4" t="str">
        <f aca="false">HYPERLINK("https://leetcode.com/problems/reverse-linked-list-ii/", "92")</f>
        <v>92</v>
      </c>
      <c r="C84" s="5" t="str">
        <f aca="false">HYPERLINK("https://leetcode.com/problems/reverse-linked-list-ii/", "Reverse Linked List II")</f>
        <v>Reverse Linked List II</v>
      </c>
      <c r="D84" s="6" t="s">
        <v>9</v>
      </c>
      <c r="E84" s="8" t="s">
        <v>11</v>
      </c>
      <c r="F84" s="8" t="s">
        <v>11</v>
      </c>
      <c r="G84" s="9" t="s">
        <v>119</v>
      </c>
      <c r="H84" s="10"/>
    </row>
    <row r="85" customFormat="false" ht="19.5" hidden="false" customHeight="true" outlineLevel="0" collapsed="false">
      <c r="A85" s="11" t="s">
        <v>114</v>
      </c>
      <c r="B85" s="12" t="str">
        <f aca="false">HYPERLINK("https://leetcode.com/problems/copy-list-with-random-pointer/", "138")</f>
        <v>138</v>
      </c>
      <c r="C85" s="13" t="str">
        <f aca="false">HYPERLINK("https://leetcode.com/problems/copy-list-with-random-pointer/", "Copy List with Random Pointer")</f>
        <v>Copy List with Random Pointer</v>
      </c>
      <c r="D85" s="6" t="s">
        <v>9</v>
      </c>
      <c r="E85" s="15" t="s">
        <v>11</v>
      </c>
      <c r="F85" s="15" t="s">
        <v>11</v>
      </c>
      <c r="G85" s="16" t="s">
        <v>120</v>
      </c>
      <c r="H85" s="17"/>
    </row>
    <row r="86" customFormat="false" ht="19.5" hidden="false" customHeight="true" outlineLevel="0" collapsed="false">
      <c r="A86" s="3" t="s">
        <v>121</v>
      </c>
      <c r="B86" s="4" t="str">
        <f aca="false">HYPERLINK("https://leetcode.com/problems/maximum-depth-of-binary-tree/", "104")</f>
        <v>104</v>
      </c>
      <c r="C86" s="5" t="str">
        <f aca="false">HYPERLINK("https://leetcode.com/problems/maximum-depth-of-binary-tree/", "Maximum Depth of Binary Tree")</f>
        <v>Maximum Depth of Binary Tree</v>
      </c>
      <c r="D86" s="18" t="s">
        <v>35</v>
      </c>
      <c r="E86" s="8" t="s">
        <v>11</v>
      </c>
      <c r="F86" s="8" t="s">
        <v>11</v>
      </c>
      <c r="G86" s="9" t="s">
        <v>122</v>
      </c>
      <c r="H86" s="10"/>
    </row>
    <row r="87" customFormat="false" ht="19.5" hidden="false" customHeight="true" outlineLevel="0" collapsed="false">
      <c r="A87" s="11" t="s">
        <v>121</v>
      </c>
      <c r="B87" s="12" t="str">
        <f aca="false">HYPERLINK("https://leetcode.com/problems/path-sum/", "112")</f>
        <v>112</v>
      </c>
      <c r="C87" s="13" t="str">
        <f aca="false">HYPERLINK("https://leetcode.com/problems/path-sum/", "Path Sum")</f>
        <v>Path Sum</v>
      </c>
      <c r="D87" s="18" t="s">
        <v>35</v>
      </c>
      <c r="E87" s="15" t="s">
        <v>11</v>
      </c>
      <c r="F87" s="15" t="s">
        <v>11</v>
      </c>
      <c r="G87" s="16" t="s">
        <v>123</v>
      </c>
      <c r="H87" s="17"/>
    </row>
    <row r="88" customFormat="false" ht="19.5" hidden="false" customHeight="true" outlineLevel="0" collapsed="false">
      <c r="A88" s="3" t="s">
        <v>121</v>
      </c>
      <c r="B88" s="4" t="str">
        <f aca="false">HYPERLINK("https://leetcode.com/problems/path-sum-ii/", "113")</f>
        <v>113</v>
      </c>
      <c r="C88" s="5" t="str">
        <f aca="false">HYPERLINK("https://leetcode.com/problems/path-sum-ii/", "Path Sum II")</f>
        <v>Path Sum II</v>
      </c>
      <c r="D88" s="6" t="s">
        <v>9</v>
      </c>
      <c r="E88" s="8" t="s">
        <v>11</v>
      </c>
      <c r="F88" s="8" t="s">
        <v>11</v>
      </c>
      <c r="G88" s="9" t="s">
        <v>124</v>
      </c>
      <c r="H88" s="10"/>
    </row>
    <row r="89" customFormat="false" ht="19.5" hidden="false" customHeight="true" outlineLevel="0" collapsed="false">
      <c r="A89" s="11" t="s">
        <v>121</v>
      </c>
      <c r="B89" s="12" t="str">
        <f aca="false">HYPERLINK("https://leetcode.com/problems/diameter-of-binary-tree/", "543")</f>
        <v>543</v>
      </c>
      <c r="C89" s="13" t="str">
        <f aca="false">HYPERLINK("https://leetcode.com/problems/diameter-of-binary-tree/", "Diameter of Binary Tree")</f>
        <v>Diameter of Binary Tree</v>
      </c>
      <c r="D89" s="18" t="s">
        <v>35</v>
      </c>
      <c r="E89" s="15" t="s">
        <v>11</v>
      </c>
      <c r="F89" s="15" t="s">
        <v>11</v>
      </c>
      <c r="G89" s="16" t="s">
        <v>125</v>
      </c>
      <c r="H89" s="17"/>
    </row>
    <row r="90" customFormat="false" ht="19.5" hidden="false" customHeight="true" outlineLevel="0" collapsed="false">
      <c r="A90" s="3" t="s">
        <v>121</v>
      </c>
      <c r="B90" s="4" t="str">
        <f aca="false">HYPERLINK("https://leetcode.com/problems/binary-tree-maximum-path-sum/", "124")</f>
        <v>124</v>
      </c>
      <c r="C90" s="5" t="str">
        <f aca="false">HYPERLINK("https://leetcode.com/problems/binary-tree-maximum-path-sum/", "Binary Tree Maximum Path Sum")</f>
        <v>Binary Tree Maximum Path Sum</v>
      </c>
      <c r="D90" s="14" t="s">
        <v>14</v>
      </c>
      <c r="E90" s="8" t="s">
        <v>11</v>
      </c>
      <c r="F90" s="8" t="s">
        <v>11</v>
      </c>
      <c r="G90" s="9" t="s">
        <v>126</v>
      </c>
      <c r="H90" s="10"/>
    </row>
    <row r="91" customFormat="false" ht="19.5" hidden="false" customHeight="true" outlineLevel="0" collapsed="false">
      <c r="A91" s="11" t="s">
        <v>121</v>
      </c>
      <c r="B91" s="12" t="str">
        <f aca="false">HYPERLINK("https://leetcode.com/problems/invert-binary-tree/", "226")</f>
        <v>226</v>
      </c>
      <c r="C91" s="13" t="str">
        <f aca="false">HYPERLINK("https://leetcode.com/problems/invert-binary-tree/", "Invert Binary Tree")</f>
        <v>Invert Binary Tree</v>
      </c>
      <c r="D91" s="18" t="s">
        <v>35</v>
      </c>
      <c r="E91" s="15" t="s">
        <v>11</v>
      </c>
      <c r="F91" s="15" t="s">
        <v>11</v>
      </c>
      <c r="G91" s="16" t="s">
        <v>127</v>
      </c>
      <c r="H91" s="17"/>
    </row>
    <row r="92" customFormat="false" ht="19.5" hidden="false" customHeight="true" outlineLevel="0" collapsed="false">
      <c r="A92" s="3" t="s">
        <v>128</v>
      </c>
      <c r="B92" s="4" t="str">
        <f aca="false">HYPERLINK("https://leetcode.com/problems/binary-tree-level-order-traversal/", "102")</f>
        <v>102</v>
      </c>
      <c r="C92" s="5" t="str">
        <f aca="false">HYPERLINK("https://leetcode.com/problems/binary-tree-level-order-traversal/", "Binary Tree Level Order Traversal")</f>
        <v>Binary Tree Level Order Traversal</v>
      </c>
      <c r="D92" s="6" t="s">
        <v>9</v>
      </c>
      <c r="E92" s="8" t="s">
        <v>11</v>
      </c>
      <c r="F92" s="8" t="s">
        <v>11</v>
      </c>
      <c r="G92" s="9" t="s">
        <v>129</v>
      </c>
      <c r="H92" s="10"/>
    </row>
    <row r="93" customFormat="false" ht="19.5" hidden="false" customHeight="true" outlineLevel="0" collapsed="false">
      <c r="A93" s="11" t="s">
        <v>128</v>
      </c>
      <c r="B93" s="12" t="str">
        <f aca="false">HYPERLINK("https://leetcode.com/problems/binary-tree-zigzag-level-order-traversal/", "103")</f>
        <v>103</v>
      </c>
      <c r="C93" s="13" t="str">
        <f aca="false">HYPERLINK("https://leetcode.com/problems/binary-tree-zigzag-level-order-traversal/", "Binary Tree Zigzag Level Order Traversal")</f>
        <v>Binary Tree Zigzag Level Order Traversal</v>
      </c>
      <c r="D93" s="6" t="s">
        <v>9</v>
      </c>
      <c r="E93" s="15" t="s">
        <v>11</v>
      </c>
      <c r="F93" s="15" t="s">
        <v>11</v>
      </c>
      <c r="G93" s="16" t="s">
        <v>130</v>
      </c>
      <c r="H93" s="17"/>
    </row>
    <row r="94" customFormat="false" ht="19.5" hidden="false" customHeight="true" outlineLevel="0" collapsed="false">
      <c r="A94" s="3" t="s">
        <v>128</v>
      </c>
      <c r="B94" s="4" t="str">
        <f aca="false">HYPERLINK("https://leetcode.com/problems/binary-tree-right-side-view/", "199")</f>
        <v>199</v>
      </c>
      <c r="C94" s="5" t="str">
        <f aca="false">HYPERLINK("https://leetcode.com/problems/binary-tree-right-side-view/", "Binary Tree Right Side View")</f>
        <v>Binary Tree Right Side View</v>
      </c>
      <c r="D94" s="6" t="s">
        <v>9</v>
      </c>
      <c r="E94" s="8" t="s">
        <v>11</v>
      </c>
      <c r="F94" s="8" t="s">
        <v>11</v>
      </c>
      <c r="G94" s="9" t="s">
        <v>131</v>
      </c>
      <c r="H94" s="10"/>
    </row>
    <row r="95" customFormat="false" ht="19.5" hidden="false" customHeight="true" outlineLevel="0" collapsed="false">
      <c r="A95" s="11" t="s">
        <v>128</v>
      </c>
      <c r="B95" s="12" t="str">
        <f aca="false">HYPERLINK("https://leetcode.com/problems/find-largest-value-in-each-tree-row/", "515")</f>
        <v>515</v>
      </c>
      <c r="C95" s="13" t="str">
        <f aca="false">HYPERLINK("https://leetcode.com/problems/find-largest-value-in-each-tree-row/", "Find Largest Value in Each Tree Row")</f>
        <v>Find Largest Value in Each Tree Row</v>
      </c>
      <c r="D95" s="6" t="s">
        <v>9</v>
      </c>
      <c r="E95" s="15" t="s">
        <v>11</v>
      </c>
      <c r="F95" s="15" t="s">
        <v>11</v>
      </c>
      <c r="G95" s="16" t="s">
        <v>132</v>
      </c>
      <c r="H95" s="17"/>
    </row>
    <row r="96" customFormat="false" ht="19.5" hidden="false" customHeight="true" outlineLevel="0" collapsed="false">
      <c r="A96" s="3" t="s">
        <v>128</v>
      </c>
      <c r="B96" s="4" t="str">
        <f aca="false">HYPERLINK("https://leetcode.com/problems/average-of-levels-in-binary-tree/", "637")</f>
        <v>637</v>
      </c>
      <c r="C96" s="5" t="str">
        <f aca="false">HYPERLINK("https://leetcode.com/problems/average-of-levels-in-binary-tree/", "Average of Levels in Binary Tree")</f>
        <v>Average of Levels in Binary Tree</v>
      </c>
      <c r="D96" s="18" t="s">
        <v>35</v>
      </c>
      <c r="E96" s="8" t="s">
        <v>11</v>
      </c>
      <c r="F96" s="8" t="s">
        <v>11</v>
      </c>
      <c r="G96" s="9" t="s">
        <v>133</v>
      </c>
      <c r="H96" s="10"/>
    </row>
    <row r="97" customFormat="false" ht="19.5" hidden="false" customHeight="true" outlineLevel="0" collapsed="false">
      <c r="A97" s="11" t="s">
        <v>128</v>
      </c>
      <c r="B97" s="12" t="str">
        <f aca="false">HYPERLINK("https://leetcode.com/problems/populating-next-right-pointers-in-each-node/", "116")</f>
        <v>116</v>
      </c>
      <c r="C97" s="13" t="str">
        <f aca="false">HYPERLINK("https://leetcode.com/problems/populating-next-right-pointers-in-each-node/", "Populating Next Right Pointers in Each Node")</f>
        <v>Populating Next Right Pointers in Each Node</v>
      </c>
      <c r="D97" s="6" t="s">
        <v>9</v>
      </c>
      <c r="E97" s="15" t="s">
        <v>11</v>
      </c>
      <c r="F97" s="15" t="s">
        <v>11</v>
      </c>
      <c r="G97" s="16" t="s">
        <v>134</v>
      </c>
      <c r="H97" s="17"/>
    </row>
    <row r="98" customFormat="false" ht="19.5" hidden="false" customHeight="true" outlineLevel="0" collapsed="false">
      <c r="A98" s="3" t="s">
        <v>135</v>
      </c>
      <c r="B98" s="4" t="str">
        <f aca="false">HYPERLINK("https://leetcode.com/problems/validate-binary-search-tree/", "98")</f>
        <v>98</v>
      </c>
      <c r="C98" s="5" t="str">
        <f aca="false">HYPERLINK("https://leetcode.com/problems/validate-binary-search-tree/", "Validate Binary Search Tree")</f>
        <v>Validate Binary Search Tree</v>
      </c>
      <c r="D98" s="6" t="s">
        <v>9</v>
      </c>
      <c r="E98" s="8" t="s">
        <v>11</v>
      </c>
      <c r="F98" s="8" t="s">
        <v>11</v>
      </c>
      <c r="G98" s="9" t="s">
        <v>136</v>
      </c>
      <c r="H98" s="10"/>
    </row>
    <row r="99" customFormat="false" ht="19.5" hidden="false" customHeight="true" outlineLevel="0" collapsed="false">
      <c r="A99" s="11" t="s">
        <v>135</v>
      </c>
      <c r="B99" s="12" t="str">
        <f aca="false">HYPERLINK("https://leetcode.com/problems/recover-binary-search-tree/", "99")</f>
        <v>99</v>
      </c>
      <c r="C99" s="13" t="str">
        <f aca="false">HYPERLINK("https://leetcode.com/problems/recover-binary-search-tree/", "Recover Binary Search Tree")</f>
        <v>Recover Binary Search Tree</v>
      </c>
      <c r="D99" s="6" t="s">
        <v>9</v>
      </c>
      <c r="E99" s="15" t="s">
        <v>11</v>
      </c>
      <c r="F99" s="15" t="s">
        <v>11</v>
      </c>
      <c r="G99" s="16" t="s">
        <v>137</v>
      </c>
      <c r="H99" s="17"/>
    </row>
    <row r="100" customFormat="false" ht="19.5" hidden="false" customHeight="true" outlineLevel="0" collapsed="false">
      <c r="A100" s="3" t="s">
        <v>135</v>
      </c>
      <c r="B100" s="4" t="str">
        <f aca="false">HYPERLINK("https://leetcode.com/problems/kth-smallest-element-in-a-bst/", "230")</f>
        <v>230</v>
      </c>
      <c r="C100" s="5" t="str">
        <f aca="false">HYPERLINK("https://leetcode.com/problems/kth-smallest-element-in-a-bst/", "Kth Smallest Element in a BST")</f>
        <v>Kth Smallest Element in a BST</v>
      </c>
      <c r="D100" s="6" t="s">
        <v>9</v>
      </c>
      <c r="E100" s="8" t="s">
        <v>11</v>
      </c>
      <c r="F100" s="8" t="s">
        <v>11</v>
      </c>
      <c r="G100" s="9" t="s">
        <v>138</v>
      </c>
      <c r="H100" s="10"/>
    </row>
    <row r="101" customFormat="false" ht="19.5" hidden="false" customHeight="true" outlineLevel="0" collapsed="false">
      <c r="A101" s="11" t="s">
        <v>135</v>
      </c>
      <c r="B101" s="12" t="str">
        <f aca="false">HYPERLINK("https://leetcode.com/problems/lowest-common-ancestor-of-a-binary-search-tree/", "235")</f>
        <v>235</v>
      </c>
      <c r="C101" s="13" t="str">
        <f aca="false">HYPERLINK("https://leetcode.com/problems/lowest-common-ancestor-of-a-binary-search-tree/", "Lowest Common Ancestor of a Binary Search Tree")</f>
        <v>Lowest Common Ancestor of a Binary Search Tree</v>
      </c>
      <c r="D101" s="6" t="s">
        <v>9</v>
      </c>
      <c r="E101" s="15" t="s">
        <v>11</v>
      </c>
      <c r="F101" s="15" t="s">
        <v>11</v>
      </c>
      <c r="G101" s="16" t="s">
        <v>139</v>
      </c>
      <c r="H101" s="17"/>
    </row>
    <row r="102" customFormat="false" ht="19.5" hidden="false" customHeight="true" outlineLevel="0" collapsed="false">
      <c r="A102" s="3" t="s">
        <v>135</v>
      </c>
      <c r="B102" s="4" t="str">
        <f aca="false">HYPERLINK("https://leetcode.com/problems/delete-node-in-a-bst/", "450")</f>
        <v>450</v>
      </c>
      <c r="C102" s="5" t="str">
        <f aca="false">HYPERLINK("https://leetcode.com/problems/delete-node-in-a-bst/", "Delete Node in a BST")</f>
        <v>Delete Node in a BST</v>
      </c>
      <c r="D102" s="6" t="s">
        <v>9</v>
      </c>
      <c r="E102" s="8" t="s">
        <v>11</v>
      </c>
      <c r="F102" s="8" t="s">
        <v>11</v>
      </c>
      <c r="G102" s="9" t="s">
        <v>140</v>
      </c>
      <c r="H102" s="10"/>
    </row>
    <row r="103" customFormat="false" ht="19.5" hidden="false" customHeight="true" outlineLevel="0" collapsed="false">
      <c r="A103" s="11" t="s">
        <v>135</v>
      </c>
      <c r="B103" s="12" t="str">
        <f aca="false">HYPERLINK("https://leetcode.com/problems/search-in-a-binary-search-tree/", "700")</f>
        <v>700</v>
      </c>
      <c r="C103" s="13" t="str">
        <f aca="false">HYPERLINK("https://leetcode.com/problems/search-in-a-binary-search-tree/", "Search in a Binary Search Tree")</f>
        <v>Search in a Binary Search Tree</v>
      </c>
      <c r="D103" s="18" t="s">
        <v>35</v>
      </c>
      <c r="E103" s="15" t="s">
        <v>11</v>
      </c>
      <c r="F103" s="15" t="s">
        <v>11</v>
      </c>
      <c r="G103" s="16" t="s">
        <v>141</v>
      </c>
      <c r="H103" s="17"/>
    </row>
    <row r="104" customFormat="false" ht="19.5" hidden="false" customHeight="true" outlineLevel="0" collapsed="false">
      <c r="A104" s="3" t="s">
        <v>142</v>
      </c>
      <c r="B104" s="4" t="str">
        <f aca="false">HYPERLINK("https://leetcode.com/problems/permutations/", "46")</f>
        <v>46</v>
      </c>
      <c r="C104" s="5" t="str">
        <f aca="false">HYPERLINK("https://leetcode.com/problems/permutations/", "Permutations")</f>
        <v>Permutations</v>
      </c>
      <c r="D104" s="6" t="s">
        <v>9</v>
      </c>
      <c r="E104" s="8" t="s">
        <v>11</v>
      </c>
      <c r="F104" s="8" t="s">
        <v>11</v>
      </c>
      <c r="G104" s="9" t="s">
        <v>143</v>
      </c>
      <c r="H104" s="10"/>
    </row>
    <row r="105" customFormat="false" ht="19.5" hidden="false" customHeight="true" outlineLevel="0" collapsed="false">
      <c r="A105" s="11" t="s">
        <v>142</v>
      </c>
      <c r="B105" s="12" t="str">
        <f aca="false">HYPERLINK("https://leetcode.com/problems/permutations-ii/", "47")</f>
        <v>47</v>
      </c>
      <c r="C105" s="13" t="str">
        <f aca="false">HYPERLINK("https://leetcode.com/problems/permutations-ii/", "Permutations II")</f>
        <v>Permutations II</v>
      </c>
      <c r="D105" s="6" t="s">
        <v>9</v>
      </c>
      <c r="E105" s="15" t="s">
        <v>11</v>
      </c>
      <c r="F105" s="15" t="s">
        <v>11</v>
      </c>
      <c r="G105" s="16" t="s">
        <v>144</v>
      </c>
      <c r="H105" s="17"/>
    </row>
    <row r="106" customFormat="false" ht="19.5" hidden="false" customHeight="true" outlineLevel="0" collapsed="false">
      <c r="A106" s="3" t="s">
        <v>142</v>
      </c>
      <c r="B106" s="4" t="str">
        <f aca="false">HYPERLINK("https://leetcode.com/problems/combinations/", "77")</f>
        <v>77</v>
      </c>
      <c r="C106" s="5" t="str">
        <f aca="false">HYPERLINK("https://leetcode.com/problems/combinations/", "Combinations")</f>
        <v>Combinations</v>
      </c>
      <c r="D106" s="6" t="s">
        <v>9</v>
      </c>
      <c r="E106" s="8" t="s">
        <v>11</v>
      </c>
      <c r="F106" s="8" t="s">
        <v>11</v>
      </c>
      <c r="G106" s="9" t="s">
        <v>145</v>
      </c>
      <c r="H106" s="10"/>
    </row>
    <row r="107" customFormat="false" ht="19.5" hidden="false" customHeight="true" outlineLevel="0" collapsed="false">
      <c r="A107" s="11" t="s">
        <v>142</v>
      </c>
      <c r="B107" s="12" t="str">
        <f aca="false">HYPERLINK("https://leetcode.com/problems/subsets/", "78")</f>
        <v>78</v>
      </c>
      <c r="C107" s="13" t="str">
        <f aca="false">HYPERLINK("https://leetcode.com/problems/subsets/", "Subsets")</f>
        <v>Subsets</v>
      </c>
      <c r="D107" s="6" t="s">
        <v>9</v>
      </c>
      <c r="E107" s="15" t="s">
        <v>11</v>
      </c>
      <c r="F107" s="15" t="s">
        <v>11</v>
      </c>
      <c r="G107" s="16" t="s">
        <v>146</v>
      </c>
      <c r="H107" s="17"/>
    </row>
    <row r="108" customFormat="false" ht="19.5" hidden="false" customHeight="true" outlineLevel="0" collapsed="false">
      <c r="A108" s="3" t="s">
        <v>142</v>
      </c>
      <c r="B108" s="4" t="str">
        <f aca="false">HYPERLINK("https://leetcode.com/problems/subsets-ii/", "90")</f>
        <v>90</v>
      </c>
      <c r="C108" s="5" t="str">
        <f aca="false">HYPERLINK("https://leetcode.com/problems/subsets-ii/", "Subsets II")</f>
        <v>Subsets II</v>
      </c>
      <c r="D108" s="6" t="s">
        <v>9</v>
      </c>
      <c r="E108" s="8" t="s">
        <v>11</v>
      </c>
      <c r="F108" s="8" t="s">
        <v>11</v>
      </c>
      <c r="G108" s="9" t="s">
        <v>147</v>
      </c>
      <c r="H108" s="10"/>
    </row>
    <row r="109" customFormat="false" ht="19.5" hidden="false" customHeight="true" outlineLevel="0" collapsed="false">
      <c r="A109" s="11" t="s">
        <v>142</v>
      </c>
      <c r="B109" s="12" t="str">
        <f aca="false">HYPERLINK("https://leetcode.com/problems/combination-sum/", "39")</f>
        <v>39</v>
      </c>
      <c r="C109" s="13" t="str">
        <f aca="false">HYPERLINK("https://leetcode.com/problems/combination-sum/", "Combination Sum")</f>
        <v>Combination Sum</v>
      </c>
      <c r="D109" s="6" t="s">
        <v>9</v>
      </c>
      <c r="E109" s="15" t="s">
        <v>11</v>
      </c>
      <c r="F109" s="15" t="s">
        <v>11</v>
      </c>
      <c r="G109" s="16" t="s">
        <v>148</v>
      </c>
      <c r="H109" s="17"/>
    </row>
    <row r="110" customFormat="false" ht="19.5" hidden="false" customHeight="true" outlineLevel="0" collapsed="false">
      <c r="A110" s="3" t="s">
        <v>149</v>
      </c>
      <c r="B110" s="4" t="str">
        <f aca="false">HYPERLINK("https://leetcode.com/problems/combination-sum-ii/", "40")</f>
        <v>40</v>
      </c>
      <c r="C110" s="5" t="str">
        <f aca="false">HYPERLINK("https://leetcode.com/problems/combination-sum-ii/", "Combination Sum II")</f>
        <v>Combination Sum II</v>
      </c>
      <c r="D110" s="6" t="s">
        <v>9</v>
      </c>
      <c r="E110" s="8" t="s">
        <v>11</v>
      </c>
      <c r="F110" s="8" t="s">
        <v>11</v>
      </c>
      <c r="G110" s="9" t="s">
        <v>150</v>
      </c>
      <c r="H110" s="10"/>
    </row>
    <row r="111" customFormat="false" ht="19.5" hidden="false" customHeight="true" outlineLevel="0" collapsed="false">
      <c r="A111" s="11" t="s">
        <v>149</v>
      </c>
      <c r="B111" s="12" t="str">
        <f aca="false">HYPERLINK("https://leetcode.com/problems/letter-combinations-of-a-phone-number/", "17")</f>
        <v>17</v>
      </c>
      <c r="C111" s="13" t="str">
        <f aca="false">HYPERLINK("https://leetcode.com/problems/letter-combinations-of-a-phone-number/", "Letter Combinations of a Phone Number")</f>
        <v>Letter Combinations of a Phone Number</v>
      </c>
      <c r="D111" s="6" t="s">
        <v>9</v>
      </c>
      <c r="E111" s="15" t="s">
        <v>11</v>
      </c>
      <c r="F111" s="15" t="s">
        <v>11</v>
      </c>
      <c r="G111" s="16" t="s">
        <v>151</v>
      </c>
      <c r="H111" s="17"/>
    </row>
    <row r="112" customFormat="false" ht="19.5" hidden="false" customHeight="true" outlineLevel="0" collapsed="false">
      <c r="A112" s="3" t="s">
        <v>149</v>
      </c>
      <c r="B112" s="4" t="str">
        <f aca="false">HYPERLINK("https://leetcode.com/problems/word-search/", "79")</f>
        <v>79</v>
      </c>
      <c r="C112" s="5" t="str">
        <f aca="false">HYPERLINK("https://leetcode.com/problems/word-search/", "Word Search")</f>
        <v>Word Search</v>
      </c>
      <c r="D112" s="6" t="s">
        <v>9</v>
      </c>
      <c r="E112" s="8" t="s">
        <v>11</v>
      </c>
      <c r="F112" s="8" t="s">
        <v>11</v>
      </c>
      <c r="G112" s="9" t="s">
        <v>152</v>
      </c>
      <c r="H112" s="10"/>
    </row>
    <row r="113" customFormat="false" ht="19.5" hidden="false" customHeight="true" outlineLevel="0" collapsed="false">
      <c r="A113" s="11" t="s">
        <v>149</v>
      </c>
      <c r="B113" s="12" t="str">
        <f aca="false">HYPERLINK("https://leetcode.com/problems/palindrome-partitioning/", "131")</f>
        <v>131</v>
      </c>
      <c r="C113" s="13" t="str">
        <f aca="false">HYPERLINK("https://leetcode.com/problems/palindrome-partitioning/", "Palindrome Partitioning")</f>
        <v>Palindrome Partitioning</v>
      </c>
      <c r="D113" s="6" t="s">
        <v>9</v>
      </c>
      <c r="E113" s="15" t="s">
        <v>11</v>
      </c>
      <c r="F113" s="15" t="s">
        <v>11</v>
      </c>
      <c r="G113" s="16" t="s">
        <v>153</v>
      </c>
      <c r="H113" s="17"/>
    </row>
    <row r="114" customFormat="false" ht="19.5" hidden="false" customHeight="true" outlineLevel="0" collapsed="false">
      <c r="A114" s="3" t="s">
        <v>149</v>
      </c>
      <c r="B114" s="4" t="str">
        <f aca="false">HYPERLINK("https://leetcode.com/problems/n-queens/", "51")</f>
        <v>51</v>
      </c>
      <c r="C114" s="5" t="str">
        <f aca="false">HYPERLINK("https://leetcode.com/problems/n-queens/", "N-Queens")</f>
        <v>N-Queens</v>
      </c>
      <c r="D114" s="14" t="s">
        <v>14</v>
      </c>
      <c r="E114" s="8" t="s">
        <v>11</v>
      </c>
      <c r="F114" s="8" t="s">
        <v>11</v>
      </c>
      <c r="G114" s="9" t="s">
        <v>154</v>
      </c>
      <c r="H114" s="10"/>
    </row>
    <row r="115" customFormat="false" ht="19.5" hidden="false" customHeight="true" outlineLevel="0" collapsed="false">
      <c r="A115" s="11" t="s">
        <v>149</v>
      </c>
      <c r="B115" s="12" t="str">
        <f aca="false">HYPERLINK("https://leetcode.com/problems/n-queens-ii/", "52")</f>
        <v>52</v>
      </c>
      <c r="C115" s="13" t="str">
        <f aca="false">HYPERLINK("https://leetcode.com/problems/n-queens-ii/", "N-Queens II")</f>
        <v>N-Queens II</v>
      </c>
      <c r="D115" s="14" t="s">
        <v>14</v>
      </c>
      <c r="E115" s="15" t="s">
        <v>11</v>
      </c>
      <c r="F115" s="15" t="s">
        <v>11</v>
      </c>
      <c r="G115" s="16" t="s">
        <v>155</v>
      </c>
      <c r="H115" s="17"/>
    </row>
    <row r="116" customFormat="false" ht="19.5" hidden="false" customHeight="true" outlineLevel="0" collapsed="false">
      <c r="A116" s="3" t="s">
        <v>156</v>
      </c>
      <c r="B116" s="4" t="str">
        <f aca="false">HYPERLINK("https://leetcode.com/problems/number-of-islands/", "200")</f>
        <v>200</v>
      </c>
      <c r="C116" s="5" t="str">
        <f aca="false">HYPERLINK("https://leetcode.com/problems/number-of-islands/", "Number of Islands")</f>
        <v>Number of Islands</v>
      </c>
      <c r="D116" s="6" t="s">
        <v>9</v>
      </c>
      <c r="E116" s="8" t="s">
        <v>11</v>
      </c>
      <c r="F116" s="8" t="s">
        <v>11</v>
      </c>
      <c r="G116" s="9" t="s">
        <v>157</v>
      </c>
      <c r="H116" s="10"/>
    </row>
    <row r="117" customFormat="false" ht="19.5" hidden="false" customHeight="true" outlineLevel="0" collapsed="false">
      <c r="A117" s="11" t="s">
        <v>156</v>
      </c>
      <c r="B117" s="12" t="str">
        <f aca="false">HYPERLINK("https://leetcode.com/problems/max-area-of-island/", "695")</f>
        <v>695</v>
      </c>
      <c r="C117" s="13" t="str">
        <f aca="false">HYPERLINK("https://leetcode.com/problems/max-area-of-island/", "Max Area of Island")</f>
        <v>Max Area of Island</v>
      </c>
      <c r="D117" s="6" t="s">
        <v>9</v>
      </c>
      <c r="E117" s="15" t="s">
        <v>11</v>
      </c>
      <c r="F117" s="15" t="s">
        <v>11</v>
      </c>
      <c r="G117" s="16" t="s">
        <v>158</v>
      </c>
      <c r="H117" s="17"/>
    </row>
    <row r="118" customFormat="false" ht="19.5" hidden="false" customHeight="true" outlineLevel="0" collapsed="false">
      <c r="A118" s="3" t="s">
        <v>156</v>
      </c>
      <c r="B118" s="4" t="str">
        <f aca="false">HYPERLINK("https://leetcode.com/problems/flood-fill/", "733")</f>
        <v>733</v>
      </c>
      <c r="C118" s="5" t="str">
        <f aca="false">HYPERLINK("https://leetcode.com/problems/flood-fill/", "Flood Fill")</f>
        <v>Flood Fill</v>
      </c>
      <c r="D118" s="18" t="s">
        <v>35</v>
      </c>
      <c r="E118" s="8" t="s">
        <v>11</v>
      </c>
      <c r="F118" s="8" t="s">
        <v>11</v>
      </c>
      <c r="G118" s="9" t="s">
        <v>159</v>
      </c>
      <c r="H118" s="10"/>
    </row>
    <row r="119" customFormat="false" ht="19.5" hidden="false" customHeight="true" outlineLevel="0" collapsed="false">
      <c r="A119" s="11" t="s">
        <v>156</v>
      </c>
      <c r="B119" s="12" t="str">
        <f aca="false">HYPERLINK("https://leetcode.com/problems/rotting-oranges/", "994")</f>
        <v>994</v>
      </c>
      <c r="C119" s="13" t="str">
        <f aca="false">HYPERLINK("https://leetcode.com/problems/rotting-oranges/", "Rotting Oranges")</f>
        <v>Rotting Oranges</v>
      </c>
      <c r="D119" s="6" t="s">
        <v>9</v>
      </c>
      <c r="E119" s="15" t="s">
        <v>11</v>
      </c>
      <c r="F119" s="15" t="s">
        <v>11</v>
      </c>
      <c r="G119" s="16" t="s">
        <v>160</v>
      </c>
      <c r="H119" s="17"/>
    </row>
    <row r="120" customFormat="false" ht="19.5" hidden="false" customHeight="true" outlineLevel="0" collapsed="false">
      <c r="A120" s="3" t="s">
        <v>156</v>
      </c>
      <c r="B120" s="4" t="str">
        <f aca="false">HYPERLINK("https://leetcode.com/problems/shortest-path-in-binary-matrix/", "1091")</f>
        <v>1091</v>
      </c>
      <c r="C120" s="5" t="str">
        <f aca="false">HYPERLINK("https://leetcode.com/problems/shortest-path-in-binary-matrix/", "Shortest Path in Binary Matrix")</f>
        <v>Shortest Path in Binary Matrix</v>
      </c>
      <c r="D120" s="6" t="s">
        <v>9</v>
      </c>
      <c r="E120" s="8" t="s">
        <v>11</v>
      </c>
      <c r="F120" s="8" t="s">
        <v>11</v>
      </c>
      <c r="G120" s="9" t="s">
        <v>161</v>
      </c>
      <c r="H120" s="10"/>
    </row>
    <row r="121" customFormat="false" ht="19.5" hidden="false" customHeight="true" outlineLevel="0" collapsed="false">
      <c r="A121" s="11" t="s">
        <v>156</v>
      </c>
      <c r="B121" s="12" t="str">
        <f aca="false">HYPERLINK("https://leetcode.com/problems/number-of-closed-islands/", "1254")</f>
        <v>1254</v>
      </c>
      <c r="C121" s="13" t="str">
        <f aca="false">HYPERLINK("https://leetcode.com/problems/number-of-closed-islands/", "Number of Closed Islands")</f>
        <v>Number of Closed Islands</v>
      </c>
      <c r="D121" s="6" t="s">
        <v>9</v>
      </c>
      <c r="E121" s="15" t="s">
        <v>11</v>
      </c>
      <c r="F121" s="15" t="s">
        <v>11</v>
      </c>
      <c r="G121" s="16" t="s">
        <v>162</v>
      </c>
      <c r="H121" s="17"/>
    </row>
    <row r="122" customFormat="false" ht="19.5" hidden="false" customHeight="true" outlineLevel="0" collapsed="false">
      <c r="A122" s="3" t="s">
        <v>163</v>
      </c>
      <c r="B122" s="4" t="str">
        <f aca="false">HYPERLINK("https://leetcode.com/problems/course-schedule/", "207")</f>
        <v>207</v>
      </c>
      <c r="C122" s="5" t="str">
        <f aca="false">HYPERLINK("https://leetcode.com/problems/course-schedule/", "Course Schedule")</f>
        <v>Course Schedule</v>
      </c>
      <c r="D122" s="6" t="s">
        <v>9</v>
      </c>
      <c r="E122" s="8" t="s">
        <v>11</v>
      </c>
      <c r="F122" s="8" t="s">
        <v>11</v>
      </c>
      <c r="G122" s="9" t="s">
        <v>164</v>
      </c>
      <c r="H122" s="10"/>
    </row>
    <row r="123" customFormat="false" ht="19.5" hidden="false" customHeight="true" outlineLevel="0" collapsed="false">
      <c r="A123" s="11" t="s">
        <v>163</v>
      </c>
      <c r="B123" s="12" t="str">
        <f aca="false">HYPERLINK("https://leetcode.com/problems/course-schedule-ii/", "210")</f>
        <v>210</v>
      </c>
      <c r="C123" s="13" t="str">
        <f aca="false">HYPERLINK("https://leetcode.com/problems/course-schedule-ii/", "Course Schedule II")</f>
        <v>Course Schedule II</v>
      </c>
      <c r="D123" s="6" t="s">
        <v>9</v>
      </c>
      <c r="E123" s="15" t="s">
        <v>11</v>
      </c>
      <c r="F123" s="15" t="s">
        <v>11</v>
      </c>
      <c r="G123" s="16" t="s">
        <v>165</v>
      </c>
      <c r="H123" s="17"/>
    </row>
    <row r="124" customFormat="false" ht="19.5" hidden="false" customHeight="true" outlineLevel="0" collapsed="false">
      <c r="A124" s="3" t="s">
        <v>163</v>
      </c>
      <c r="B124" s="4" t="str">
        <f aca="false">HYPERLINK("https://leetcode.com/problems/find-eventual-safe-states/", "802")</f>
        <v>802</v>
      </c>
      <c r="C124" s="5" t="str">
        <f aca="false">HYPERLINK("https://leetcode.com/problems/find-eventual-safe-states/", "Find Eventual Safe States")</f>
        <v>Find Eventual Safe States</v>
      </c>
      <c r="D124" s="6" t="s">
        <v>9</v>
      </c>
      <c r="E124" s="8" t="s">
        <v>11</v>
      </c>
      <c r="F124" s="8" t="s">
        <v>11</v>
      </c>
      <c r="G124" s="9" t="s">
        <v>166</v>
      </c>
      <c r="H124" s="10"/>
    </row>
    <row r="125" customFormat="false" ht="19.5" hidden="false" customHeight="true" outlineLevel="0" collapsed="false">
      <c r="A125" s="11" t="s">
        <v>163</v>
      </c>
      <c r="B125" s="12" t="str">
        <f aca="false">HYPERLINK("https://leetcode.com/problems/course-schedule-iv/", "1462")</f>
        <v>1462</v>
      </c>
      <c r="C125" s="13" t="str">
        <f aca="false">HYPERLINK("https://leetcode.com/problems/course-schedule-iv/", "Course Schedule IV")</f>
        <v>Course Schedule IV</v>
      </c>
      <c r="D125" s="6" t="s">
        <v>9</v>
      </c>
      <c r="E125" s="15" t="s">
        <v>11</v>
      </c>
      <c r="F125" s="15" t="s">
        <v>11</v>
      </c>
      <c r="G125" s="16" t="s">
        <v>167</v>
      </c>
      <c r="H125" s="17"/>
    </row>
    <row r="126" customFormat="false" ht="19.5" hidden="false" customHeight="true" outlineLevel="0" collapsed="false">
      <c r="A126" s="3" t="s">
        <v>163</v>
      </c>
      <c r="B126" s="4" t="str">
        <f aca="false">HYPERLINK("https://leetcode.com/problems/sort-items-by-groups-respecting-dependencies/", "1203")</f>
        <v>1203</v>
      </c>
      <c r="C126" s="5" t="str">
        <f aca="false">HYPERLINK("https://leetcode.com/problems/sort-items-by-groups-respecting-dependencies/", "Sort Items by Groups Respecting Dependencies")</f>
        <v>Sort Items by Groups Respecting Dependencies</v>
      </c>
      <c r="D126" s="14" t="s">
        <v>14</v>
      </c>
      <c r="E126" s="8" t="s">
        <v>11</v>
      </c>
      <c r="F126" s="8" t="s">
        <v>11</v>
      </c>
      <c r="G126" s="9" t="s">
        <v>168</v>
      </c>
      <c r="H126" s="10"/>
    </row>
    <row r="127" customFormat="false" ht="19.5" hidden="false" customHeight="true" outlineLevel="0" collapsed="false">
      <c r="A127" s="11" t="s">
        <v>163</v>
      </c>
      <c r="B127" s="12" t="str">
        <f aca="false">HYPERLINK("https://leetcode.com/problems/find-all-possible-recipes-from-given-supplies/", "2115")</f>
        <v>2115</v>
      </c>
      <c r="C127" s="13" t="str">
        <f aca="false">HYPERLINK("https://leetcode.com/problems/find-all-possible-recipes-from-given-supplies/", "Find All Possible Recipes from Given Supplies")</f>
        <v>Find All Possible Recipes from Given Supplies</v>
      </c>
      <c r="D127" s="6" t="s">
        <v>9</v>
      </c>
      <c r="E127" s="15" t="s">
        <v>11</v>
      </c>
      <c r="F127" s="15" t="s">
        <v>11</v>
      </c>
      <c r="G127" s="16" t="s">
        <v>169</v>
      </c>
      <c r="H127" s="17"/>
    </row>
    <row r="128" customFormat="false" ht="19.5" hidden="false" customHeight="true" outlineLevel="0" collapsed="false">
      <c r="A128" s="3" t="s">
        <v>170</v>
      </c>
      <c r="B128" s="4" t="str">
        <f aca="false">HYPERLINK("https://leetcode.com/problems/number-of-provinces/", "547")</f>
        <v>547</v>
      </c>
      <c r="C128" s="5" t="str">
        <f aca="false">HYPERLINK("https://leetcode.com/problems/number-of-provinces/", "Number of Provinces")</f>
        <v>Number of Provinces</v>
      </c>
      <c r="D128" s="6" t="s">
        <v>9</v>
      </c>
      <c r="E128" s="8" t="s">
        <v>11</v>
      </c>
      <c r="F128" s="8" t="s">
        <v>11</v>
      </c>
      <c r="G128" s="9" t="s">
        <v>171</v>
      </c>
      <c r="H128" s="10"/>
    </row>
    <row r="129" customFormat="false" ht="19.5" hidden="false" customHeight="true" outlineLevel="0" collapsed="false">
      <c r="A129" s="11" t="s">
        <v>170</v>
      </c>
      <c r="B129" s="12" t="str">
        <f aca="false">HYPERLINK("https://leetcode.com/problems/redundant-connection/", "684")</f>
        <v>684</v>
      </c>
      <c r="C129" s="13" t="str">
        <f aca="false">HYPERLINK("https://leetcode.com/problems/redundant-connection/", "Redundant Connection")</f>
        <v>Redundant Connection</v>
      </c>
      <c r="D129" s="6" t="s">
        <v>9</v>
      </c>
      <c r="E129" s="15" t="s">
        <v>11</v>
      </c>
      <c r="F129" s="15" t="s">
        <v>11</v>
      </c>
      <c r="G129" s="16" t="s">
        <v>172</v>
      </c>
      <c r="H129" s="17"/>
    </row>
    <row r="130" customFormat="false" ht="19.5" hidden="false" customHeight="true" outlineLevel="0" collapsed="false">
      <c r="A130" s="3" t="s">
        <v>170</v>
      </c>
      <c r="B130" s="4" t="str">
        <f aca="false">HYPERLINK("https://leetcode.com/problems/number-of-operations-to-make-network-connected/", "1319")</f>
        <v>1319</v>
      </c>
      <c r="C130" s="5" t="str">
        <f aca="false">HYPERLINK("https://leetcode.com/problems/number-of-operations-to-make-network-connected/", "Number of Operations to Make Network Connected")</f>
        <v>Number of Operations to Make Network Connected</v>
      </c>
      <c r="D130" s="6" t="s">
        <v>9</v>
      </c>
      <c r="E130" s="8" t="s">
        <v>11</v>
      </c>
      <c r="F130" s="8" t="s">
        <v>11</v>
      </c>
      <c r="G130" s="9" t="s">
        <v>173</v>
      </c>
      <c r="H130" s="10"/>
    </row>
    <row r="131" customFormat="false" ht="19.5" hidden="false" customHeight="true" outlineLevel="0" collapsed="false">
      <c r="A131" s="11" t="s">
        <v>170</v>
      </c>
      <c r="B131" s="12" t="str">
        <f aca="false">HYPERLINK("https://leetcode.com/problems/remove-max-number-of-edges-to-keep-graph-fully-traversable/", "1579")</f>
        <v>1579</v>
      </c>
      <c r="C131" s="13" t="str">
        <f aca="false">HYPERLINK("https://leetcode.com/problems/remove-max-number-of-edges-to-keep-graph-fully-traversable/", "Remove Max Number of Edges to Keep Graph Fully Traversable")</f>
        <v>Remove Max Number of Edges to Keep Graph Fully Traversable</v>
      </c>
      <c r="D131" s="14" t="s">
        <v>14</v>
      </c>
      <c r="E131" s="15" t="s">
        <v>11</v>
      </c>
      <c r="F131" s="15" t="s">
        <v>11</v>
      </c>
      <c r="G131" s="16" t="s">
        <v>174</v>
      </c>
      <c r="H131" s="17"/>
    </row>
    <row r="132" customFormat="false" ht="19.5" hidden="false" customHeight="true" outlineLevel="0" collapsed="false">
      <c r="A132" s="3" t="s">
        <v>170</v>
      </c>
      <c r="B132" s="4" t="str">
        <f aca="false">HYPERLINK("https://leetcode.com/problems/satisfiability-of-equality-equations/", "990")</f>
        <v>990</v>
      </c>
      <c r="C132" s="5" t="str">
        <f aca="false">HYPERLINK("https://leetcode.com/problems/satisfiability-of-equality-equations/", "Satisfiability of Equality Equations")</f>
        <v>Satisfiability of Equality Equations</v>
      </c>
      <c r="D132" s="6" t="s">
        <v>9</v>
      </c>
      <c r="E132" s="8" t="s">
        <v>11</v>
      </c>
      <c r="F132" s="8" t="s">
        <v>11</v>
      </c>
      <c r="G132" s="9" t="s">
        <v>175</v>
      </c>
      <c r="H132" s="10"/>
    </row>
    <row r="133" customFormat="false" ht="19.5" hidden="false" customHeight="true" outlineLevel="0" collapsed="false">
      <c r="A133" s="11" t="s">
        <v>170</v>
      </c>
      <c r="B133" s="12" t="str">
        <f aca="false">HYPERLINK("https://leetcode.com/problems/smallest-string-with-swaps/", "1202")</f>
        <v>1202</v>
      </c>
      <c r="C133" s="13" t="str">
        <f aca="false">HYPERLINK("https://leetcode.com/problems/smallest-string-with-swaps/", "Smallest String With Swaps")</f>
        <v>Smallest String With Swaps</v>
      </c>
      <c r="D133" s="6" t="s">
        <v>9</v>
      </c>
      <c r="E133" s="15" t="s">
        <v>11</v>
      </c>
      <c r="F133" s="15" t="s">
        <v>11</v>
      </c>
      <c r="G133" s="16" t="s">
        <v>176</v>
      </c>
      <c r="H133" s="17"/>
    </row>
    <row r="134" customFormat="false" ht="19.5" hidden="false" customHeight="true" outlineLevel="0" collapsed="false">
      <c r="A134" s="3" t="s">
        <v>177</v>
      </c>
      <c r="B134" s="4" t="str">
        <f aca="false">HYPERLINK("https://leetcode.com/problems/network-delay-time/", "743")</f>
        <v>743</v>
      </c>
      <c r="C134" s="5" t="str">
        <f aca="false">HYPERLINK("https://leetcode.com/problems/network-delay-time/", "Network Delay Time")</f>
        <v>Network Delay Time</v>
      </c>
      <c r="D134" s="6" t="s">
        <v>9</v>
      </c>
      <c r="E134" s="8" t="s">
        <v>11</v>
      </c>
      <c r="F134" s="8" t="s">
        <v>11</v>
      </c>
      <c r="G134" s="9" t="s">
        <v>178</v>
      </c>
      <c r="H134" s="10"/>
    </row>
    <row r="135" customFormat="false" ht="19.5" hidden="false" customHeight="true" outlineLevel="0" collapsed="false">
      <c r="A135" s="11" t="s">
        <v>177</v>
      </c>
      <c r="B135" s="12" t="str">
        <f aca="false">HYPERLINK("https://leetcode.com/problems/cheapest-flights-within-k-stops/", "787")</f>
        <v>787</v>
      </c>
      <c r="C135" s="13" t="str">
        <f aca="false">HYPERLINK("https://leetcode.com/problems/cheapest-flights-within-k-stops/", "Cheapest Flights Within K Stops")</f>
        <v>Cheapest Flights Within K Stops</v>
      </c>
      <c r="D135" s="6" t="s">
        <v>9</v>
      </c>
      <c r="E135" s="15" t="s">
        <v>11</v>
      </c>
      <c r="F135" s="15" t="s">
        <v>11</v>
      </c>
      <c r="G135" s="16" t="s">
        <v>179</v>
      </c>
      <c r="H135" s="17"/>
    </row>
    <row r="136" customFormat="false" ht="19.5" hidden="false" customHeight="true" outlineLevel="0" collapsed="false">
      <c r="A136" s="3" t="s">
        <v>177</v>
      </c>
      <c r="B136" s="4" t="str">
        <f aca="false">HYPERLINK("https://leetcode.com/problems/path-with-maximum-probability/", "1514")</f>
        <v>1514</v>
      </c>
      <c r="C136" s="5" t="str">
        <f aca="false">HYPERLINK("https://leetcode.com/problems/path-with-maximum-probability/", "Path with Maximum Probability")</f>
        <v>Path with Maximum Probability</v>
      </c>
      <c r="D136" s="6" t="s">
        <v>9</v>
      </c>
      <c r="E136" s="8" t="s">
        <v>11</v>
      </c>
      <c r="F136" s="8" t="s">
        <v>11</v>
      </c>
      <c r="G136" s="9" t="s">
        <v>180</v>
      </c>
      <c r="H136" s="10"/>
    </row>
    <row r="137" customFormat="false" ht="19.5" hidden="false" customHeight="true" outlineLevel="0" collapsed="false">
      <c r="A137" s="11" t="s">
        <v>177</v>
      </c>
      <c r="B137" s="12" t="str">
        <f aca="false">HYPERLINK("https://leetcode.com/problems/path-with-minimum-effort/", "1631")</f>
        <v>1631</v>
      </c>
      <c r="C137" s="13" t="str">
        <f aca="false">HYPERLINK("https://leetcode.com/problems/path-with-minimum-effort/", "Path With Minimum Effort")</f>
        <v>Path With Minimum Effort</v>
      </c>
      <c r="D137" s="6" t="s">
        <v>9</v>
      </c>
      <c r="E137" s="15" t="s">
        <v>11</v>
      </c>
      <c r="F137" s="15" t="s">
        <v>11</v>
      </c>
      <c r="G137" s="16" t="s">
        <v>181</v>
      </c>
      <c r="H137" s="17"/>
    </row>
    <row r="138" customFormat="false" ht="19.5" hidden="false" customHeight="true" outlineLevel="0" collapsed="false">
      <c r="A138" s="3" t="s">
        <v>177</v>
      </c>
      <c r="B138" s="4" t="str">
        <f aca="false">HYPERLINK("https://leetcode.com/problems/find-the-city-with-the-smallest-number-of-neighbors-at-a-threshold-distance/", "1334")</f>
        <v>1334</v>
      </c>
      <c r="C138" s="5" t="str">
        <f aca="false">HYPERLINK("https://leetcode.com/problems/find-the-city-with-the-smallest-number-of-neighbors-at-a-threshold-distance/", "Find the City With the Smallest Number of Neighbors at a Threshold Distance")</f>
        <v>Find the City With the Smallest Number of Neighbors at a Threshold Distance</v>
      </c>
      <c r="D138" s="6" t="s">
        <v>9</v>
      </c>
      <c r="E138" s="8" t="s">
        <v>11</v>
      </c>
      <c r="F138" s="8" t="s">
        <v>11</v>
      </c>
      <c r="G138" s="9" t="s">
        <v>182</v>
      </c>
      <c r="H138" s="10"/>
    </row>
    <row r="139" customFormat="false" ht="19.5" hidden="false" customHeight="true" outlineLevel="0" collapsed="false">
      <c r="A139" s="11" t="s">
        <v>177</v>
      </c>
      <c r="B139" s="12" t="str">
        <f aca="false">HYPERLINK("https://leetcode.com/problems/number-of-ways-to-arrive-at-destination/", "1976")</f>
        <v>1976</v>
      </c>
      <c r="C139" s="13" t="str">
        <f aca="false">HYPERLINK("https://leetcode.com/problems/number-of-ways-to-arrive-at-destination/", "Number of Ways to Arrive at Destination")</f>
        <v>Number of Ways to Arrive at Destination</v>
      </c>
      <c r="D139" s="6" t="s">
        <v>9</v>
      </c>
      <c r="E139" s="15" t="s">
        <v>11</v>
      </c>
      <c r="F139" s="15" t="s">
        <v>11</v>
      </c>
      <c r="G139" s="16" t="s">
        <v>183</v>
      </c>
      <c r="H139" s="17"/>
    </row>
    <row r="140" customFormat="false" ht="19.5" hidden="false" customHeight="true" outlineLevel="0" collapsed="false">
      <c r="A140" s="3" t="s">
        <v>184</v>
      </c>
      <c r="B140" s="4" t="str">
        <f aca="false">HYPERLINK("https://leetcode.com/problems/min-cost-to-connect-all-points/", "1584")</f>
        <v>1584</v>
      </c>
      <c r="C140" s="5" t="str">
        <f aca="false">HYPERLINK("https://leetcode.com/problems/min-cost-to-connect-all-points/", "Min Cost to Connect All Points")</f>
        <v>Min Cost to Connect All Points</v>
      </c>
      <c r="D140" s="6" t="s">
        <v>9</v>
      </c>
      <c r="E140" s="8" t="s">
        <v>11</v>
      </c>
      <c r="F140" s="8" t="s">
        <v>11</v>
      </c>
      <c r="G140" s="9" t="s">
        <v>185</v>
      </c>
      <c r="H140" s="10"/>
    </row>
    <row r="141" customFormat="false" ht="19.5" hidden="false" customHeight="true" outlineLevel="0" collapsed="false">
      <c r="A141" s="11" t="s">
        <v>184</v>
      </c>
      <c r="B141" s="12" t="str">
        <f aca="false">HYPERLINK("https://leetcode.com/problems/connecting-cities-with-minimum-cost/", "1135")</f>
        <v>1135</v>
      </c>
      <c r="C141" s="13" t="str">
        <f aca="false">HYPERLINK("https://leetcode.com/problems/connecting-cities-with-minimum-cost/", "Connecting Cities With Minimum Cost")</f>
        <v>Connecting Cities With Minimum Cost</v>
      </c>
      <c r="D141" s="6" t="s">
        <v>9</v>
      </c>
      <c r="E141" s="15" t="s">
        <v>11</v>
      </c>
      <c r="F141" s="15" t="s">
        <v>11</v>
      </c>
      <c r="G141" s="16" t="s">
        <v>186</v>
      </c>
      <c r="H141" s="19" t="s">
        <v>56</v>
      </c>
    </row>
    <row r="142" customFormat="false" ht="19.5" hidden="false" customHeight="true" outlineLevel="0" collapsed="false">
      <c r="A142" s="3" t="s">
        <v>184</v>
      </c>
      <c r="B142" s="4" t="str">
        <f aca="false">HYPERLINK("https://leetcode.com/problems/optimize-water-distribution-in-a-village/", "1168")</f>
        <v>1168</v>
      </c>
      <c r="C142" s="5" t="str">
        <f aca="false">HYPERLINK("https://leetcode.com/problems/optimize-water-distribution-in-a-village/", "Optimize Water Distribution in a Village")</f>
        <v>Optimize Water Distribution in a Village</v>
      </c>
      <c r="D142" s="14" t="s">
        <v>14</v>
      </c>
      <c r="E142" s="8" t="s">
        <v>11</v>
      </c>
      <c r="F142" s="8" t="s">
        <v>11</v>
      </c>
      <c r="G142" s="9" t="s">
        <v>187</v>
      </c>
      <c r="H142" s="20" t="s">
        <v>56</v>
      </c>
    </row>
    <row r="143" customFormat="false" ht="19.5" hidden="false" customHeight="true" outlineLevel="0" collapsed="false">
      <c r="A143" s="11" t="s">
        <v>184</v>
      </c>
      <c r="B143" s="12" t="str">
        <f aca="false">HYPERLINK("https://leetcode.com/problems/find-critical-and-pseudo-critical-edges-in-minimum-spanning-tree/", "1489")</f>
        <v>1489</v>
      </c>
      <c r="C143" s="13" t="str">
        <f aca="false">HYPERLINK("https://leetcode.com/problems/find-critical-and-pseudo-critical-edges-in-minimum-spanning-tree/", "Find Critical and Pseudo-Critical Edges in Minimum Spanning Tree")</f>
        <v>Find Critical and Pseudo-Critical Edges in Minimum Spanning Tree</v>
      </c>
      <c r="D143" s="14" t="s">
        <v>14</v>
      </c>
      <c r="E143" s="15" t="s">
        <v>11</v>
      </c>
      <c r="F143" s="15" t="s">
        <v>11</v>
      </c>
      <c r="G143" s="16" t="s">
        <v>188</v>
      </c>
      <c r="H143" s="17"/>
    </row>
    <row r="144" customFormat="false" ht="19.5" hidden="false" customHeight="true" outlineLevel="0" collapsed="false">
      <c r="A144" s="3" t="s">
        <v>184</v>
      </c>
      <c r="B144" s="4" t="str">
        <f aca="false">HYPERLINK("https://leetcode.com/problems/swim-in-rising-water/", "778")</f>
        <v>778</v>
      </c>
      <c r="C144" s="5" t="str">
        <f aca="false">HYPERLINK("https://leetcode.com/problems/swim-in-rising-water/", "Swim in Rising Water")</f>
        <v>Swim in Rising Water</v>
      </c>
      <c r="D144" s="14" t="s">
        <v>14</v>
      </c>
      <c r="E144" s="8" t="s">
        <v>11</v>
      </c>
      <c r="F144" s="8" t="s">
        <v>11</v>
      </c>
      <c r="G144" s="9" t="s">
        <v>189</v>
      </c>
      <c r="H144" s="10"/>
    </row>
    <row r="145" customFormat="false" ht="19.5" hidden="false" customHeight="true" outlineLevel="0" collapsed="false">
      <c r="A145" s="11" t="s">
        <v>184</v>
      </c>
      <c r="B145" s="12" t="str">
        <f aca="false">HYPERLINK("https://leetcode.com/problems/path-with-maximum-minimum-value/", "1102")</f>
        <v>1102</v>
      </c>
      <c r="C145" s="13" t="str">
        <f aca="false">HYPERLINK("https://leetcode.com/problems/path-with-maximum-minimum-value/", "Path With Maximum Minimum Value")</f>
        <v>Path With Maximum Minimum Value</v>
      </c>
      <c r="D145" s="6" t="s">
        <v>9</v>
      </c>
      <c r="E145" s="15" t="s">
        <v>11</v>
      </c>
      <c r="F145" s="15" t="s">
        <v>11</v>
      </c>
      <c r="G145" s="16" t="s">
        <v>190</v>
      </c>
      <c r="H145" s="19" t="s">
        <v>56</v>
      </c>
    </row>
    <row r="146" customFormat="false" ht="19.5" hidden="false" customHeight="true" outlineLevel="0" collapsed="false">
      <c r="A146" s="3" t="s">
        <v>191</v>
      </c>
      <c r="B146" s="4" t="str">
        <f aca="false">HYPERLINK("https://leetcode.com/problems/implement-trie-prefix-tree/", "208")</f>
        <v>208</v>
      </c>
      <c r="C146" s="5" t="str">
        <f aca="false">HYPERLINK("https://leetcode.com/problems/implement-trie-prefix-tree/", "Implement Trie (Prefix Tree)")</f>
        <v>Implement Trie (Prefix Tree)</v>
      </c>
      <c r="D146" s="6" t="s">
        <v>9</v>
      </c>
      <c r="E146" s="8" t="s">
        <v>11</v>
      </c>
      <c r="F146" s="8" t="s">
        <v>11</v>
      </c>
      <c r="G146" s="9" t="s">
        <v>192</v>
      </c>
      <c r="H146" s="10"/>
    </row>
    <row r="147" customFormat="false" ht="19.5" hidden="false" customHeight="true" outlineLevel="0" collapsed="false">
      <c r="A147" s="11" t="s">
        <v>191</v>
      </c>
      <c r="B147" s="12" t="str">
        <f aca="false">HYPERLINK("https://leetcode.com/problems/design-add-and-search-words-data-structure/", "211")</f>
        <v>211</v>
      </c>
      <c r="C147" s="13" t="str">
        <f aca="false">HYPERLINK("https://leetcode.com/problems/design-add-and-search-words-data-structure/", "Design Add and Search Words Data Structure")</f>
        <v>Design Add and Search Words Data Structure</v>
      </c>
      <c r="D147" s="6" t="s">
        <v>9</v>
      </c>
      <c r="E147" s="15" t="s">
        <v>11</v>
      </c>
      <c r="F147" s="15" t="s">
        <v>11</v>
      </c>
      <c r="G147" s="16" t="s">
        <v>193</v>
      </c>
      <c r="H147" s="17"/>
    </row>
    <row r="148" customFormat="false" ht="19.5" hidden="false" customHeight="true" outlineLevel="0" collapsed="false">
      <c r="A148" s="3" t="s">
        <v>191</v>
      </c>
      <c r="B148" s="4" t="str">
        <f aca="false">HYPERLINK("https://leetcode.com/problems/word-search-ii/", "212")</f>
        <v>212</v>
      </c>
      <c r="C148" s="5" t="str">
        <f aca="false">HYPERLINK("https://leetcode.com/problems/word-search-ii/", "Word Search II")</f>
        <v>Word Search II</v>
      </c>
      <c r="D148" s="14" t="s">
        <v>14</v>
      </c>
      <c r="E148" s="8" t="s">
        <v>11</v>
      </c>
      <c r="F148" s="8" t="s">
        <v>11</v>
      </c>
      <c r="G148" s="9" t="s">
        <v>194</v>
      </c>
      <c r="H148" s="10"/>
    </row>
    <row r="149" customFormat="false" ht="19.5" hidden="false" customHeight="true" outlineLevel="0" collapsed="false">
      <c r="A149" s="11" t="s">
        <v>191</v>
      </c>
      <c r="B149" s="12" t="str">
        <f aca="false">HYPERLINK("https://leetcode.com/problems/replace-words/", "648")</f>
        <v>648</v>
      </c>
      <c r="C149" s="13" t="str">
        <f aca="false">HYPERLINK("https://leetcode.com/problems/replace-words/", "Replace Words")</f>
        <v>Replace Words</v>
      </c>
      <c r="D149" s="6" t="s">
        <v>9</v>
      </c>
      <c r="E149" s="15" t="s">
        <v>11</v>
      </c>
      <c r="F149" s="15" t="s">
        <v>11</v>
      </c>
      <c r="G149" s="16" t="s">
        <v>195</v>
      </c>
      <c r="H149" s="17"/>
    </row>
    <row r="150" customFormat="false" ht="19.5" hidden="false" customHeight="true" outlineLevel="0" collapsed="false">
      <c r="A150" s="3" t="s">
        <v>191</v>
      </c>
      <c r="B150" s="4" t="str">
        <f aca="false">HYPERLINK("https://leetcode.com/problems/map-sum-pairs/", "677")</f>
        <v>677</v>
      </c>
      <c r="C150" s="5" t="str">
        <f aca="false">HYPERLINK("https://leetcode.com/problems/map-sum-pairs/", "Map Sum Pairs")</f>
        <v>Map Sum Pairs</v>
      </c>
      <c r="D150" s="6" t="s">
        <v>9</v>
      </c>
      <c r="E150" s="8" t="s">
        <v>11</v>
      </c>
      <c r="F150" s="8" t="s">
        <v>11</v>
      </c>
      <c r="G150" s="9" t="s">
        <v>196</v>
      </c>
      <c r="H150" s="10"/>
    </row>
    <row r="151" customFormat="false" ht="19.5" hidden="false" customHeight="true" outlineLevel="0" collapsed="false">
      <c r="A151" s="11" t="s">
        <v>191</v>
      </c>
      <c r="B151" s="12" t="str">
        <f aca="false">HYPERLINK("https://leetcode.com/problems/search-suggestions-system/", "1268")</f>
        <v>1268</v>
      </c>
      <c r="C151" s="13" t="str">
        <f aca="false">HYPERLINK("https://leetcode.com/problems/search-suggestions-system/", "Search Suggestions System")</f>
        <v>Search Suggestions System</v>
      </c>
      <c r="D151" s="6" t="s">
        <v>9</v>
      </c>
      <c r="E151" s="15" t="s">
        <v>11</v>
      </c>
      <c r="F151" s="15" t="s">
        <v>11</v>
      </c>
      <c r="G151" s="16" t="s">
        <v>197</v>
      </c>
      <c r="H151" s="17"/>
    </row>
    <row r="152" customFormat="false" ht="19.5" hidden="false" customHeight="true" outlineLevel="0" collapsed="false">
      <c r="A152" s="3" t="s">
        <v>198</v>
      </c>
      <c r="B152" s="4" t="str">
        <f aca="false">HYPERLINK("https://leetcode.com/problems/single-number/", "136")</f>
        <v>136</v>
      </c>
      <c r="C152" s="5" t="str">
        <f aca="false">HYPERLINK("https://leetcode.com/problems/single-number/", "Single Number")</f>
        <v>Single Number</v>
      </c>
      <c r="D152" s="18" t="s">
        <v>35</v>
      </c>
      <c r="E152" s="8" t="s">
        <v>11</v>
      </c>
      <c r="F152" s="8" t="s">
        <v>11</v>
      </c>
      <c r="G152" s="9" t="s">
        <v>199</v>
      </c>
      <c r="H152" s="10"/>
    </row>
    <row r="153" customFormat="false" ht="19.5" hidden="false" customHeight="true" outlineLevel="0" collapsed="false">
      <c r="A153" s="11" t="s">
        <v>198</v>
      </c>
      <c r="B153" s="12" t="str">
        <f aca="false">HYPERLINK("https://leetcode.com/problems/single-number-ii/", "137")</f>
        <v>137</v>
      </c>
      <c r="C153" s="13" t="str">
        <f aca="false">HYPERLINK("https://leetcode.com/problems/single-number-ii/", "Single Number II")</f>
        <v>Single Number II</v>
      </c>
      <c r="D153" s="6" t="s">
        <v>9</v>
      </c>
      <c r="E153" s="15" t="s">
        <v>11</v>
      </c>
      <c r="F153" s="15" t="s">
        <v>11</v>
      </c>
      <c r="G153" s="16" t="s">
        <v>200</v>
      </c>
      <c r="H153" s="17"/>
    </row>
    <row r="154" customFormat="false" ht="19.5" hidden="false" customHeight="true" outlineLevel="0" collapsed="false">
      <c r="A154" s="3" t="s">
        <v>198</v>
      </c>
      <c r="B154" s="4" t="str">
        <f aca="false">HYPERLINK("https://leetcode.com/problems/number-of-1-bits/", "191")</f>
        <v>191</v>
      </c>
      <c r="C154" s="5" t="str">
        <f aca="false">HYPERLINK("https://leetcode.com/problems/number-of-1-bits/", "Number of 1 Bits")</f>
        <v>Number of 1 Bits</v>
      </c>
      <c r="D154" s="18" t="s">
        <v>35</v>
      </c>
      <c r="E154" s="8" t="s">
        <v>11</v>
      </c>
      <c r="F154" s="8" t="s">
        <v>11</v>
      </c>
      <c r="G154" s="9" t="s">
        <v>201</v>
      </c>
      <c r="H154" s="10"/>
    </row>
    <row r="155" customFormat="false" ht="19.5" hidden="false" customHeight="true" outlineLevel="0" collapsed="false">
      <c r="A155" s="11" t="s">
        <v>198</v>
      </c>
      <c r="B155" s="12" t="str">
        <f aca="false">HYPERLINK("https://leetcode.com/problems/counting-bits/", "338")</f>
        <v>338</v>
      </c>
      <c r="C155" s="13" t="str">
        <f aca="false">HYPERLINK("https://leetcode.com/problems/counting-bits/", "Counting Bits")</f>
        <v>Counting Bits</v>
      </c>
      <c r="D155" s="18" t="s">
        <v>35</v>
      </c>
      <c r="E155" s="15" t="s">
        <v>11</v>
      </c>
      <c r="F155" s="15" t="s">
        <v>11</v>
      </c>
      <c r="G155" s="16" t="s">
        <v>202</v>
      </c>
      <c r="H155" s="17"/>
    </row>
    <row r="156" customFormat="false" ht="19.5" hidden="false" customHeight="true" outlineLevel="0" collapsed="false">
      <c r="A156" s="3" t="s">
        <v>198</v>
      </c>
      <c r="B156" s="4" t="str">
        <f aca="false">HYPERLINK("https://leetcode.com/problems/missing-number/", "268")</f>
        <v>268</v>
      </c>
      <c r="C156" s="5" t="str">
        <f aca="false">HYPERLINK("https://leetcode.com/problems/missing-number/", "Missing Number")</f>
        <v>Missing Number</v>
      </c>
      <c r="D156" s="18" t="s">
        <v>35</v>
      </c>
      <c r="E156" s="8" t="s">
        <v>11</v>
      </c>
      <c r="F156" s="8" t="s">
        <v>11</v>
      </c>
      <c r="G156" s="9" t="s">
        <v>203</v>
      </c>
      <c r="H156" s="10"/>
    </row>
    <row r="157" customFormat="false" ht="19.5" hidden="false" customHeight="true" outlineLevel="0" collapsed="false">
      <c r="A157" s="11" t="s">
        <v>198</v>
      </c>
      <c r="B157" s="12" t="str">
        <f aca="false">HYPERLINK("https://leetcode.com/problems/reverse-bits/", "190")</f>
        <v>190</v>
      </c>
      <c r="C157" s="13" t="str">
        <f aca="false">HYPERLINK("https://leetcode.com/problems/reverse-bits/", "Reverse Bits")</f>
        <v>Reverse Bits</v>
      </c>
      <c r="D157" s="18" t="s">
        <v>35</v>
      </c>
      <c r="E157" s="15" t="s">
        <v>11</v>
      </c>
      <c r="F157" s="15" t="s">
        <v>11</v>
      </c>
      <c r="G157" s="16" t="s">
        <v>204</v>
      </c>
      <c r="H157" s="17"/>
    </row>
    <row r="158" customFormat="false" ht="19.5" hidden="false" customHeight="true" outlineLevel="0" collapsed="false">
      <c r="A158" s="3" t="s">
        <v>205</v>
      </c>
      <c r="B158" s="4" t="str">
        <f aca="false">HYPERLINK("https://leetcode.com/problems/climbing-stairs/", "70")</f>
        <v>70</v>
      </c>
      <c r="C158" s="5" t="str">
        <f aca="false">HYPERLINK("https://leetcode.com/problems/climbing-stairs/", "Climbing Stairs")</f>
        <v>Climbing Stairs</v>
      </c>
      <c r="D158" s="18" t="s">
        <v>35</v>
      </c>
      <c r="E158" s="8" t="s">
        <v>11</v>
      </c>
      <c r="F158" s="8" t="s">
        <v>11</v>
      </c>
      <c r="G158" s="9" t="s">
        <v>206</v>
      </c>
      <c r="H158" s="10"/>
    </row>
    <row r="159" customFormat="false" ht="19.5" hidden="false" customHeight="true" outlineLevel="0" collapsed="false">
      <c r="A159" s="11" t="s">
        <v>205</v>
      </c>
      <c r="B159" s="12" t="str">
        <f aca="false">HYPERLINK("https://leetcode.com/problems/house-robber/", "198")</f>
        <v>198</v>
      </c>
      <c r="C159" s="13" t="str">
        <f aca="false">HYPERLINK("https://leetcode.com/problems/house-robber/", "House Robber")</f>
        <v>House Robber</v>
      </c>
      <c r="D159" s="6" t="s">
        <v>9</v>
      </c>
      <c r="E159" s="15" t="s">
        <v>11</v>
      </c>
      <c r="F159" s="15" t="s">
        <v>11</v>
      </c>
      <c r="G159" s="16" t="s">
        <v>207</v>
      </c>
      <c r="H159" s="17"/>
    </row>
    <row r="160" customFormat="false" ht="19.5" hidden="false" customHeight="true" outlineLevel="0" collapsed="false">
      <c r="A160" s="3" t="s">
        <v>205</v>
      </c>
      <c r="B160" s="4" t="str">
        <f aca="false">HYPERLINK("https://leetcode.com/problems/house-robber-ii/", "213")</f>
        <v>213</v>
      </c>
      <c r="C160" s="5" t="str">
        <f aca="false">HYPERLINK("https://leetcode.com/problems/house-robber-ii/", "House Robber II")</f>
        <v>House Robber II</v>
      </c>
      <c r="D160" s="6" t="s">
        <v>9</v>
      </c>
      <c r="E160" s="8" t="s">
        <v>11</v>
      </c>
      <c r="F160" s="8" t="s">
        <v>11</v>
      </c>
      <c r="G160" s="9" t="s">
        <v>208</v>
      </c>
      <c r="H160" s="10"/>
    </row>
    <row r="161" customFormat="false" ht="19.5" hidden="false" customHeight="true" outlineLevel="0" collapsed="false">
      <c r="A161" s="11" t="s">
        <v>205</v>
      </c>
      <c r="B161" s="12" t="str">
        <f aca="false">HYPERLINK("https://leetcode.com/problems/coin-change/", "322")</f>
        <v>322</v>
      </c>
      <c r="C161" s="13" t="str">
        <f aca="false">HYPERLINK("https://leetcode.com/problems/coin-change/", "Coin Change")</f>
        <v>Coin Change</v>
      </c>
      <c r="D161" s="6" t="s">
        <v>9</v>
      </c>
      <c r="E161" s="15" t="s">
        <v>11</v>
      </c>
      <c r="F161" s="15" t="s">
        <v>11</v>
      </c>
      <c r="G161" s="16" t="s">
        <v>209</v>
      </c>
      <c r="H161" s="17"/>
    </row>
    <row r="162" customFormat="false" ht="19.5" hidden="false" customHeight="true" outlineLevel="0" collapsed="false">
      <c r="A162" s="3" t="s">
        <v>205</v>
      </c>
      <c r="B162" s="4" t="str">
        <f aca="false">HYPERLINK("https://leetcode.com/problems/perfect-squares/", "279")</f>
        <v>279</v>
      </c>
      <c r="C162" s="5" t="str">
        <f aca="false">HYPERLINK("https://leetcode.com/problems/perfect-squares/", "Perfect Squares")</f>
        <v>Perfect Squares</v>
      </c>
      <c r="D162" s="6" t="s">
        <v>9</v>
      </c>
      <c r="E162" s="8" t="s">
        <v>11</v>
      </c>
      <c r="F162" s="8" t="s">
        <v>11</v>
      </c>
      <c r="G162" s="9" t="s">
        <v>210</v>
      </c>
      <c r="H162" s="10"/>
    </row>
    <row r="163" customFormat="false" ht="19.5" hidden="false" customHeight="true" outlineLevel="0" collapsed="false">
      <c r="A163" s="11" t="s">
        <v>205</v>
      </c>
      <c r="B163" s="12" t="str">
        <f aca="false">HYPERLINK("https://leetcode.com/problems/longest-increasing-subsequence/", "300")</f>
        <v>300</v>
      </c>
      <c r="C163" s="13" t="str">
        <f aca="false">HYPERLINK("https://leetcode.com/problems/longest-increasing-subsequence/", "Longest Increasing Subsequence")</f>
        <v>Longest Increasing Subsequence</v>
      </c>
      <c r="D163" s="6" t="s">
        <v>9</v>
      </c>
      <c r="E163" s="15" t="s">
        <v>11</v>
      </c>
      <c r="F163" s="15" t="s">
        <v>11</v>
      </c>
      <c r="G163" s="16" t="s">
        <v>211</v>
      </c>
      <c r="H163" s="17"/>
    </row>
    <row r="164" customFormat="false" ht="19.5" hidden="false" customHeight="true" outlineLevel="0" collapsed="false">
      <c r="A164" s="3" t="s">
        <v>212</v>
      </c>
      <c r="B164" s="4" t="str">
        <f aca="false">HYPERLINK("https://leetcode.com/problems/partition-equal-subset-sum/", "416")</f>
        <v>416</v>
      </c>
      <c r="C164" s="5" t="str">
        <f aca="false">HYPERLINK("https://leetcode.com/problems/partition-equal-subset-sum/", "Partition Equal Subset Sum")</f>
        <v>Partition Equal Subset Sum</v>
      </c>
      <c r="D164" s="6" t="s">
        <v>9</v>
      </c>
      <c r="E164" s="8" t="s">
        <v>11</v>
      </c>
      <c r="F164" s="8" t="s">
        <v>11</v>
      </c>
      <c r="G164" s="9" t="s">
        <v>213</v>
      </c>
      <c r="H164" s="10"/>
    </row>
    <row r="165" customFormat="false" ht="19.5" hidden="false" customHeight="true" outlineLevel="0" collapsed="false">
      <c r="A165" s="11" t="s">
        <v>212</v>
      </c>
      <c r="B165" s="12" t="str">
        <f aca="false">HYPERLINK("https://leetcode.com/problems/target-sum/", "494")</f>
        <v>494</v>
      </c>
      <c r="C165" s="13" t="str">
        <f aca="false">HYPERLINK("https://leetcode.com/problems/target-sum/", "Target Sum")</f>
        <v>Target Sum</v>
      </c>
      <c r="D165" s="6" t="s">
        <v>9</v>
      </c>
      <c r="E165" s="15" t="s">
        <v>11</v>
      </c>
      <c r="F165" s="15" t="s">
        <v>11</v>
      </c>
      <c r="G165" s="16" t="s">
        <v>214</v>
      </c>
      <c r="H165" s="17"/>
    </row>
    <row r="166" customFormat="false" ht="19.5" hidden="false" customHeight="true" outlineLevel="0" collapsed="false">
      <c r="A166" s="3" t="s">
        <v>212</v>
      </c>
      <c r="B166" s="4" t="str">
        <f aca="false">HYPERLINK("https://leetcode.com/problems/coin-change-ii/", "518")</f>
        <v>518</v>
      </c>
      <c r="C166" s="5" t="str">
        <f aca="false">HYPERLINK("https://leetcode.com/problems/coin-change-ii/", "Coin Change II")</f>
        <v>Coin Change II</v>
      </c>
      <c r="D166" s="6" t="s">
        <v>9</v>
      </c>
      <c r="E166" s="8" t="s">
        <v>11</v>
      </c>
      <c r="F166" s="8" t="s">
        <v>11</v>
      </c>
      <c r="G166" s="9" t="s">
        <v>215</v>
      </c>
      <c r="H166" s="10"/>
    </row>
    <row r="167" customFormat="false" ht="19.5" hidden="false" customHeight="true" outlineLevel="0" collapsed="false">
      <c r="A167" s="11" t="s">
        <v>212</v>
      </c>
      <c r="B167" s="12" t="str">
        <f aca="false">HYPERLINK("https://leetcode.com/problems/ones-and-zeroes/", "474")</f>
        <v>474</v>
      </c>
      <c r="C167" s="13" t="str">
        <f aca="false">HYPERLINK("https://leetcode.com/problems/ones-and-zeroes/", "Ones and Zeroes")</f>
        <v>Ones and Zeroes</v>
      </c>
      <c r="D167" s="6" t="s">
        <v>9</v>
      </c>
      <c r="E167" s="15" t="s">
        <v>11</v>
      </c>
      <c r="F167" s="15" t="s">
        <v>11</v>
      </c>
      <c r="G167" s="16" t="s">
        <v>216</v>
      </c>
      <c r="H167" s="17"/>
    </row>
    <row r="168" customFormat="false" ht="19.5" hidden="false" customHeight="true" outlineLevel="0" collapsed="false">
      <c r="A168" s="3" t="s">
        <v>212</v>
      </c>
      <c r="B168" s="4" t="str">
        <f aca="false">HYPERLINK("https://leetcode.com/problems/last-stone-weight-ii/", "1049")</f>
        <v>1049</v>
      </c>
      <c r="C168" s="5" t="str">
        <f aca="false">HYPERLINK("https://leetcode.com/problems/last-stone-weight-ii/", "Last Stone Weight II")</f>
        <v>Last Stone Weight II</v>
      </c>
      <c r="D168" s="6" t="s">
        <v>9</v>
      </c>
      <c r="E168" s="8" t="s">
        <v>11</v>
      </c>
      <c r="F168" s="8" t="s">
        <v>11</v>
      </c>
      <c r="G168" s="9" t="s">
        <v>217</v>
      </c>
      <c r="H168" s="10"/>
    </row>
    <row r="169" customFormat="false" ht="19.5" hidden="false" customHeight="true" outlineLevel="0" collapsed="false">
      <c r="A169" s="11" t="s">
        <v>212</v>
      </c>
      <c r="B169" s="12" t="str">
        <f aca="false">HYPERLINK("https://leetcode.com/problems/profitable-schemes/", "879")</f>
        <v>879</v>
      </c>
      <c r="C169" s="13" t="str">
        <f aca="false">HYPERLINK("https://leetcode.com/problems/profitable-schemes/", "Profitable Schemes")</f>
        <v>Profitable Schemes</v>
      </c>
      <c r="D169" s="14" t="s">
        <v>14</v>
      </c>
      <c r="E169" s="15" t="s">
        <v>11</v>
      </c>
      <c r="F169" s="15" t="s">
        <v>11</v>
      </c>
      <c r="G169" s="16" t="s">
        <v>218</v>
      </c>
      <c r="H169" s="17"/>
    </row>
    <row r="170" customFormat="false" ht="19.5" hidden="false" customHeight="true" outlineLevel="0" collapsed="false">
      <c r="A170" s="3" t="s">
        <v>219</v>
      </c>
      <c r="B170" s="4" t="str">
        <f aca="false">HYPERLINK("https://leetcode.com/problems/unique-paths/", "62")</f>
        <v>62</v>
      </c>
      <c r="C170" s="5" t="str">
        <f aca="false">HYPERLINK("https://leetcode.com/problems/unique-paths/", "Unique Paths")</f>
        <v>Unique Paths</v>
      </c>
      <c r="D170" s="6" t="s">
        <v>9</v>
      </c>
      <c r="E170" s="8" t="s">
        <v>11</v>
      </c>
      <c r="F170" s="8" t="s">
        <v>11</v>
      </c>
      <c r="G170" s="9" t="s">
        <v>220</v>
      </c>
      <c r="H170" s="10"/>
    </row>
    <row r="171" customFormat="false" ht="19.5" hidden="false" customHeight="true" outlineLevel="0" collapsed="false">
      <c r="A171" s="11" t="s">
        <v>219</v>
      </c>
      <c r="B171" s="12" t="str">
        <f aca="false">HYPERLINK("https://leetcode.com/problems/unique-paths-ii/", "63")</f>
        <v>63</v>
      </c>
      <c r="C171" s="13" t="str">
        <f aca="false">HYPERLINK("https://leetcode.com/problems/unique-paths-ii/", "Unique Paths II")</f>
        <v>Unique Paths II</v>
      </c>
      <c r="D171" s="6" t="s">
        <v>9</v>
      </c>
      <c r="E171" s="15" t="s">
        <v>11</v>
      </c>
      <c r="F171" s="15" t="s">
        <v>11</v>
      </c>
      <c r="G171" s="16" t="s">
        <v>221</v>
      </c>
      <c r="H171" s="17"/>
    </row>
    <row r="172" customFormat="false" ht="19.5" hidden="false" customHeight="true" outlineLevel="0" collapsed="false">
      <c r="A172" s="3" t="s">
        <v>219</v>
      </c>
      <c r="B172" s="4" t="str">
        <f aca="false">HYPERLINK("https://leetcode.com/problems/minimum-path-sum/", "64")</f>
        <v>64</v>
      </c>
      <c r="C172" s="5" t="str">
        <f aca="false">HYPERLINK("https://leetcode.com/problems/minimum-path-sum/", "Minimum Path Sum")</f>
        <v>Minimum Path Sum</v>
      </c>
      <c r="D172" s="6" t="s">
        <v>9</v>
      </c>
      <c r="E172" s="8" t="s">
        <v>11</v>
      </c>
      <c r="F172" s="8" t="s">
        <v>11</v>
      </c>
      <c r="G172" s="9" t="s">
        <v>222</v>
      </c>
      <c r="H172" s="10"/>
    </row>
    <row r="173" customFormat="false" ht="19.5" hidden="false" customHeight="true" outlineLevel="0" collapsed="false">
      <c r="A173" s="11" t="s">
        <v>219</v>
      </c>
      <c r="B173" s="12" t="str">
        <f aca="false">HYPERLINK("https://leetcode.com/problems/maximal-square/", "221")</f>
        <v>221</v>
      </c>
      <c r="C173" s="13" t="str">
        <f aca="false">HYPERLINK("https://leetcode.com/problems/maximal-square/", "Maximal Square")</f>
        <v>Maximal Square</v>
      </c>
      <c r="D173" s="6" t="s">
        <v>9</v>
      </c>
      <c r="E173" s="15" t="s">
        <v>11</v>
      </c>
      <c r="F173" s="15" t="s">
        <v>11</v>
      </c>
      <c r="G173" s="16" t="s">
        <v>223</v>
      </c>
      <c r="H173" s="17"/>
    </row>
    <row r="174" customFormat="false" ht="19.5" hidden="false" customHeight="true" outlineLevel="0" collapsed="false">
      <c r="A174" s="3" t="s">
        <v>219</v>
      </c>
      <c r="B174" s="4" t="str">
        <f aca="false">HYPERLINK("https://leetcode.com/problems/minimum-falling-path-sum/", "931")</f>
        <v>931</v>
      </c>
      <c r="C174" s="5" t="str">
        <f aca="false">HYPERLINK("https://leetcode.com/problems/minimum-falling-path-sum/", "Minimum Falling Path Sum")</f>
        <v>Minimum Falling Path Sum</v>
      </c>
      <c r="D174" s="6" t="s">
        <v>9</v>
      </c>
      <c r="E174" s="8" t="s">
        <v>11</v>
      </c>
      <c r="F174" s="8" t="s">
        <v>11</v>
      </c>
      <c r="G174" s="9" t="s">
        <v>224</v>
      </c>
      <c r="H174" s="10"/>
    </row>
    <row r="175" customFormat="false" ht="19.5" hidden="false" customHeight="true" outlineLevel="0" collapsed="false">
      <c r="A175" s="11" t="s">
        <v>219</v>
      </c>
      <c r="B175" s="12" t="str">
        <f aca="false">HYPERLINK("https://leetcode.com/problems/triangle/", "120")</f>
        <v>120</v>
      </c>
      <c r="C175" s="13" t="str">
        <f aca="false">HYPERLINK("https://leetcode.com/problems/triangle/", "Triangle")</f>
        <v>Triangle</v>
      </c>
      <c r="D175" s="6" t="s">
        <v>9</v>
      </c>
      <c r="E175" s="15" t="s">
        <v>11</v>
      </c>
      <c r="F175" s="15" t="s">
        <v>11</v>
      </c>
      <c r="G175" s="16" t="s">
        <v>225</v>
      </c>
      <c r="H175" s="17"/>
    </row>
    <row r="176" customFormat="false" ht="19.5" hidden="false" customHeight="true" outlineLevel="0" collapsed="false">
      <c r="A176" s="3" t="s">
        <v>226</v>
      </c>
      <c r="B176" s="4" t="str">
        <f aca="false">HYPERLINK("https://leetcode.com/problems/longest-common-subsequence/", "1143")</f>
        <v>1143</v>
      </c>
      <c r="C176" s="5" t="str">
        <f aca="false">HYPERLINK("https://leetcode.com/problems/longest-common-subsequence/", "Longest Common Subsequence")</f>
        <v>Longest Common Subsequence</v>
      </c>
      <c r="D176" s="6" t="s">
        <v>9</v>
      </c>
      <c r="E176" s="8" t="s">
        <v>11</v>
      </c>
      <c r="F176" s="8" t="s">
        <v>11</v>
      </c>
      <c r="G176" s="9" t="s">
        <v>227</v>
      </c>
      <c r="H176" s="10"/>
    </row>
    <row r="177" customFormat="false" ht="19.5" hidden="false" customHeight="true" outlineLevel="0" collapsed="false">
      <c r="A177" s="11" t="s">
        <v>226</v>
      </c>
      <c r="B177" s="12" t="str">
        <f aca="false">HYPERLINK("https://leetcode.com/problems/edit-distance/", "72")</f>
        <v>72</v>
      </c>
      <c r="C177" s="13" t="str">
        <f aca="false">HYPERLINK("https://leetcode.com/problems/edit-distance/", "Edit Distance")</f>
        <v>Edit Distance</v>
      </c>
      <c r="D177" s="6" t="s">
        <v>9</v>
      </c>
      <c r="E177" s="15" t="s">
        <v>11</v>
      </c>
      <c r="F177" s="15" t="s">
        <v>11</v>
      </c>
      <c r="G177" s="16" t="s">
        <v>228</v>
      </c>
      <c r="H177" s="17"/>
    </row>
    <row r="178" customFormat="false" ht="19.5" hidden="false" customHeight="true" outlineLevel="0" collapsed="false">
      <c r="A178" s="3" t="s">
        <v>226</v>
      </c>
      <c r="B178" s="4" t="str">
        <f aca="false">HYPERLINK("https://leetcode.com/problems/distinct-subsequences/", "115")</f>
        <v>115</v>
      </c>
      <c r="C178" s="5" t="str">
        <f aca="false">HYPERLINK("https://leetcode.com/problems/distinct-subsequences/", "Distinct Subsequences")</f>
        <v>Distinct Subsequences</v>
      </c>
      <c r="D178" s="14" t="s">
        <v>14</v>
      </c>
      <c r="E178" s="8" t="s">
        <v>11</v>
      </c>
      <c r="F178" s="8" t="s">
        <v>11</v>
      </c>
      <c r="G178" s="9" t="s">
        <v>229</v>
      </c>
      <c r="H178" s="10"/>
    </row>
    <row r="179" customFormat="false" ht="19.5" hidden="false" customHeight="true" outlineLevel="0" collapsed="false">
      <c r="A179" s="11" t="s">
        <v>226</v>
      </c>
      <c r="B179" s="12" t="str">
        <f aca="false">HYPERLINK("https://leetcode.com/problems/delete-operation-for-two-strings/", "583")</f>
        <v>583</v>
      </c>
      <c r="C179" s="13" t="str">
        <f aca="false">HYPERLINK("https://leetcode.com/problems/delete-operation-for-two-strings/", "Delete Operation for Two Strings")</f>
        <v>Delete Operation for Two Strings</v>
      </c>
      <c r="D179" s="6" t="s">
        <v>9</v>
      </c>
      <c r="E179" s="15" t="s">
        <v>11</v>
      </c>
      <c r="F179" s="15" t="s">
        <v>11</v>
      </c>
      <c r="G179" s="16" t="s">
        <v>230</v>
      </c>
      <c r="H179" s="17"/>
    </row>
    <row r="180" customFormat="false" ht="19.5" hidden="false" customHeight="true" outlineLevel="0" collapsed="false">
      <c r="A180" s="3" t="s">
        <v>226</v>
      </c>
      <c r="B180" s="4" t="str">
        <f aca="false">HYPERLINK("https://leetcode.com/problems/interleaving-string/", "97")</f>
        <v>97</v>
      </c>
      <c r="C180" s="5" t="str">
        <f aca="false">HYPERLINK("https://leetcode.com/problems/interleaving-string/", "Interleaving String")</f>
        <v>Interleaving String</v>
      </c>
      <c r="D180" s="6" t="s">
        <v>9</v>
      </c>
      <c r="E180" s="8" t="s">
        <v>11</v>
      </c>
      <c r="F180" s="8" t="s">
        <v>11</v>
      </c>
      <c r="G180" s="9" t="s">
        <v>231</v>
      </c>
      <c r="H180" s="10"/>
    </row>
    <row r="181" customFormat="false" ht="19.5" hidden="false" customHeight="true" outlineLevel="0" collapsed="false">
      <c r="A181" s="11" t="s">
        <v>226</v>
      </c>
      <c r="B181" s="12" t="str">
        <f aca="false">HYPERLINK("https://leetcode.com/problems/minimum-insertion-steps-to-make-a-string-palindrome/", "1312")</f>
        <v>1312</v>
      </c>
      <c r="C181" s="13" t="str">
        <f aca="false">HYPERLINK("https://leetcode.com/problems/minimum-insertion-steps-to-make-a-string-palindrome/", "Minimum Insertion Steps to Make a String Palindrome")</f>
        <v>Minimum Insertion Steps to Make a String Palindrome</v>
      </c>
      <c r="D181" s="14" t="s">
        <v>14</v>
      </c>
      <c r="E181" s="15" t="s">
        <v>11</v>
      </c>
      <c r="F181" s="15" t="s">
        <v>11</v>
      </c>
      <c r="G181" s="16" t="s">
        <v>232</v>
      </c>
      <c r="H181" s="17"/>
    </row>
  </sheetData>
  <autoFilter ref="A1:H181"/>
  <hyperlinks>
    <hyperlink ref="B2" r:id="rId1" display="https://leetcode.com/problems/longest-substring-without-repeating-characters/"/>
    <hyperlink ref="C2" r:id="rId2" display="https://leetcode.com/problems/longest-substring-without-repeating-characters/"/>
    <hyperlink ref="B3" r:id="rId3" display="https://leetcode.com/problems/minimum-window-substring/"/>
    <hyperlink ref="C3" r:id="rId4" display="https://leetcode.com/problems/minimum-window-substring/"/>
    <hyperlink ref="B4" r:id="rId5" display="https://leetcode.com/problems/minimum-size-subarray-sum/"/>
    <hyperlink ref="C4" r:id="rId6" display="https://leetcode.com/problems/minimum-size-subarray-sum/"/>
    <hyperlink ref="B5" r:id="rId7" display="https://leetcode.com/problems/longest-repeating-character-replacement/"/>
    <hyperlink ref="C5" r:id="rId8" display="https://leetcode.com/problems/longest-repeating-character-replacement/"/>
    <hyperlink ref="B6" r:id="rId9" display="https://leetcode.com/problems/permutation-in-string/"/>
    <hyperlink ref="C6" r:id="rId10" display="https://leetcode.com/problems/permutation-in-string/"/>
    <hyperlink ref="B7" r:id="rId11" display="https://leetcode.com/problems/fruit-into-baskets/"/>
    <hyperlink ref="C7" r:id="rId12" display="https://leetcode.com/problems/fruit-into-baskets/"/>
    <hyperlink ref="B8" r:id="rId13" display="https://leetcode.com/problems/container-with-most-water/"/>
    <hyperlink ref="C8" r:id="rId14" display="https://leetcode.com/problems/container-with-most-water/"/>
    <hyperlink ref="B9" r:id="rId15" display="https://leetcode.com/problems/3sum/"/>
    <hyperlink ref="C9" r:id="rId16" display="https://leetcode.com/problems/3sum/"/>
    <hyperlink ref="B10" r:id="rId17" display="https://leetcode.com/problems/3sum-closest/"/>
    <hyperlink ref="C10" r:id="rId18" display="https://leetcode.com/problems/3sum-closest/"/>
    <hyperlink ref="B11" r:id="rId19" display="https://leetcode.com/problems/4sum/"/>
    <hyperlink ref="C11" r:id="rId20" display="https://leetcode.com/problems/4sum/"/>
    <hyperlink ref="B12" r:id="rId21" display="https://leetcode.com/problems/trapping-rain-water/"/>
    <hyperlink ref="C12" r:id="rId22" display="https://leetcode.com/problems/trapping-rain-water/"/>
    <hyperlink ref="B13" r:id="rId23" display="https://leetcode.com/problems/two-sum-ii-input-array-is-sorted/"/>
    <hyperlink ref="C13" r:id="rId24" display="https://leetcode.com/problems/two-sum-ii-input-array-is-sorted/"/>
    <hyperlink ref="B14" r:id="rId25" display="https://leetcode.com/problems/linked-list-cycle/"/>
    <hyperlink ref="C14" r:id="rId26" display="https://leetcode.com/problems/linked-list-cycle/"/>
    <hyperlink ref="B15" r:id="rId27" display="https://leetcode.com/problems/linked-list-cycle-ii/"/>
    <hyperlink ref="C15" r:id="rId28" display="https://leetcode.com/problems/linked-list-cycle-ii/"/>
    <hyperlink ref="B16" r:id="rId29" display="https://leetcode.com/problems/remove-nth-node-from-end-of-list/"/>
    <hyperlink ref="C16" r:id="rId30" display="https://leetcode.com/problems/remove-nth-node-from-end-of-list/"/>
    <hyperlink ref="B17" r:id="rId31" display="https://leetcode.com/problems/middle-of-the-linked-list/"/>
    <hyperlink ref="C17" r:id="rId32" display="https://leetcode.com/problems/middle-of-the-linked-list/"/>
    <hyperlink ref="B18" r:id="rId33" display="https://leetcode.com/problems/intersection-of-two-linked-lists/"/>
    <hyperlink ref="C18" r:id="rId34" display="https://leetcode.com/problems/intersection-of-two-linked-lists/"/>
    <hyperlink ref="B19" r:id="rId35" display="https://leetcode.com/problems/palindrome-linked-list/"/>
    <hyperlink ref="C19" r:id="rId36" display="https://leetcode.com/problems/palindrome-linked-list/"/>
    <hyperlink ref="B20" r:id="rId37" display="https://leetcode.com/problems/search-in-rotated-sorted-array/"/>
    <hyperlink ref="C20" r:id="rId38" display="https://leetcode.com/problems/search-in-rotated-sorted-array/"/>
    <hyperlink ref="B21" r:id="rId39" display="https://leetcode.com/problems/find-first-and-last-position-of-element-in-sorted-array/"/>
    <hyperlink ref="C21" r:id="rId40" display="https://leetcode.com/problems/find-first-and-last-position-of-element-in-sorted-array/"/>
    <hyperlink ref="B22" r:id="rId41" display="https://leetcode.com/problems/search-insert-position/"/>
    <hyperlink ref="C22" r:id="rId42" display="https://leetcode.com/problems/search-insert-position/"/>
    <hyperlink ref="B23" r:id="rId43" display="https://leetcode.com/problems/find-minimum-in-rotated-sorted-array/"/>
    <hyperlink ref="C23" r:id="rId44" display="https://leetcode.com/problems/find-minimum-in-rotated-sorted-array/"/>
    <hyperlink ref="B24" r:id="rId45" display="https://leetcode.com/problems/find-peak-element/"/>
    <hyperlink ref="C24" r:id="rId46" display="https://leetcode.com/problems/find-peak-element/"/>
    <hyperlink ref="B25" r:id="rId47" display="https://leetcode.com/problems/binary-search/"/>
    <hyperlink ref="C25" r:id="rId48" display="https://leetcode.com/problems/binary-search/"/>
    <hyperlink ref="B26" r:id="rId49" display="https://leetcode.com/problems/koko-eating-bananas/"/>
    <hyperlink ref="C26" r:id="rId50" display="https://leetcode.com/problems/koko-eating-bananas/"/>
    <hyperlink ref="B27" r:id="rId51" display="https://leetcode.com/problems/capacity-to-ship-packages-within-d-days/"/>
    <hyperlink ref="C27" r:id="rId52" display="https://leetcode.com/problems/capacity-to-ship-packages-within-d-days/"/>
    <hyperlink ref="B28" r:id="rId53" display="https://leetcode.com/problems/split-array-largest-sum/"/>
    <hyperlink ref="C28" r:id="rId54" display="https://leetcode.com/problems/split-array-largest-sum/"/>
    <hyperlink ref="B29" r:id="rId55" display="https://leetcode.com/problems/minimize-max-distance-to-gas-station/"/>
    <hyperlink ref="C29" r:id="rId56" display="https://leetcode.com/problems/minimize-max-distance-to-gas-station/"/>
    <hyperlink ref="B30" r:id="rId57" display="https://leetcode.com/problems/find-the-smallest-divisor-given-a-threshold/"/>
    <hyperlink ref="C30" r:id="rId58" display="https://leetcode.com/problems/find-the-smallest-divisor-given-a-threshold/"/>
    <hyperlink ref="B31" r:id="rId59" display="https://leetcode.com/problems/minimum-number-of-days-to-make-m-bouquets/"/>
    <hyperlink ref="C31" r:id="rId60" display="https://leetcode.com/problems/minimum-number-of-days-to-make-m-bouquets/"/>
    <hyperlink ref="B32" r:id="rId61" display="https://leetcode.com/problems/two-sum/"/>
    <hyperlink ref="C32" r:id="rId62" display="https://leetcode.com/problems/two-sum/"/>
    <hyperlink ref="B33" r:id="rId63" display="https://leetcode.com/problems/group-anagrams/"/>
    <hyperlink ref="C33" r:id="rId64" display="https://leetcode.com/problems/group-anagrams/"/>
    <hyperlink ref="B34" r:id="rId65" display="https://leetcode.com/problems/longest-consecutive-sequence/"/>
    <hyperlink ref="C34" r:id="rId66" display="https://leetcode.com/problems/longest-consecutive-sequence/"/>
    <hyperlink ref="B35" r:id="rId67" display="https://leetcode.com/problems/contains-duplicate/"/>
    <hyperlink ref="C35" r:id="rId68" display="https://leetcode.com/problems/contains-duplicate/"/>
    <hyperlink ref="B36" r:id="rId69" display="https://leetcode.com/problems/valid-anagram/"/>
    <hyperlink ref="C36" r:id="rId70" display="https://leetcode.com/problems/valid-anagram/"/>
    <hyperlink ref="B37" r:id="rId71" display="https://leetcode.com/problems/top-k-frequent-elements/"/>
    <hyperlink ref="C37" r:id="rId72" display="https://leetcode.com/problems/top-k-frequent-elements/"/>
    <hyperlink ref="B38" r:id="rId73" display="https://leetcode.com/problems/range-sum-query-immutable/"/>
    <hyperlink ref="C38" r:id="rId74" display="https://leetcode.com/problems/range-sum-query-immutable/"/>
    <hyperlink ref="B39" r:id="rId75" display="https://leetcode.com/problems/subarray-sum-equals-k/"/>
    <hyperlink ref="C39" r:id="rId76" display="https://leetcode.com/problems/subarray-sum-equals-k/"/>
    <hyperlink ref="B40" r:id="rId77" display="https://leetcode.com/problems/find-pivot-index/"/>
    <hyperlink ref="C40" r:id="rId78" display="https://leetcode.com/problems/find-pivot-index/"/>
    <hyperlink ref="B41" r:id="rId79" display="https://leetcode.com/problems/binary-subarrays-with-sum/"/>
    <hyperlink ref="C41" r:id="rId80" display="https://leetcode.com/problems/binary-subarrays-with-sum/"/>
    <hyperlink ref="B42" r:id="rId81" display="https://leetcode.com/problems/subarray-sums-divisible-by-k/"/>
    <hyperlink ref="C42" r:id="rId82" display="https://leetcode.com/problems/subarray-sums-divisible-by-k/"/>
    <hyperlink ref="B43" r:id="rId83" display="https://leetcode.com/problems/continuous-subarray-sum/"/>
    <hyperlink ref="C43" r:id="rId84" display="https://leetcode.com/problems/continuous-subarray-sum/"/>
    <hyperlink ref="B44" r:id="rId85" display="https://leetcode.com/problems/range-addition/"/>
    <hyperlink ref="C44" r:id="rId86" display="https://leetcode.com/problems/range-addition/"/>
    <hyperlink ref="B45" r:id="rId87" display="https://leetcode.com/problems/car-pooling/"/>
    <hyperlink ref="C45" r:id="rId88" display="https://leetcode.com/problems/car-pooling/"/>
    <hyperlink ref="B46" r:id="rId89" display="https://leetcode.com/problems/corporate-flight-bookings/"/>
    <hyperlink ref="C46" r:id="rId90" display="https://leetcode.com/problems/corporate-flight-bookings/"/>
    <hyperlink ref="B47" r:id="rId91" display="https://leetcode.com/problems/check-if-all-the-integers-in-a-range-are-covered/"/>
    <hyperlink ref="C47" r:id="rId92" display="https://leetcode.com/problems/check-if-all-the-integers-in-a-range-are-covered/"/>
    <hyperlink ref="B48" r:id="rId93" display="https://leetcode.com/problems/describe-the-painting/"/>
    <hyperlink ref="C48" r:id="rId94" display="https://leetcode.com/problems/describe-the-painting/"/>
    <hyperlink ref="B49" r:id="rId95" display="https://leetcode.com/problems/shifting-letters-ii/"/>
    <hyperlink ref="C49" r:id="rId96" display="https://leetcode.com/problems/shifting-letters-ii/"/>
    <hyperlink ref="B50" r:id="rId97" display="https://leetcode.com/problems/daily-temperatures/"/>
    <hyperlink ref="C50" r:id="rId98" display="https://leetcode.com/problems/daily-temperatures/"/>
    <hyperlink ref="B51" r:id="rId99" display="https://leetcode.com/problems/next-greater-element-i/"/>
    <hyperlink ref="C51" r:id="rId100" display="https://leetcode.com/problems/next-greater-element-i/"/>
    <hyperlink ref="B52" r:id="rId101" display="https://leetcode.com/problems/next-greater-element-ii/"/>
    <hyperlink ref="C52" r:id="rId102" display="https://leetcode.com/problems/next-greater-element-ii/"/>
    <hyperlink ref="B53" r:id="rId103" display="https://leetcode.com/problems/largest-rectangle-in-histogram/"/>
    <hyperlink ref="C53" r:id="rId104" display="https://leetcode.com/problems/largest-rectangle-in-histogram/"/>
    <hyperlink ref="B54" r:id="rId105" display="https://leetcode.com/problems/maximal-rectangle/"/>
    <hyperlink ref="C54" r:id="rId106" display="https://leetcode.com/problems/maximal-rectangle/"/>
    <hyperlink ref="B55" r:id="rId107" display="https://leetcode.com/problems/online-stock-span/"/>
    <hyperlink ref="C55" r:id="rId108" display="https://leetcode.com/problems/online-stock-span/"/>
    <hyperlink ref="B56" r:id="rId109" display="https://leetcode.com/problems/sliding-window-maximum/"/>
    <hyperlink ref="C56" r:id="rId110" display="https://leetcode.com/problems/sliding-window-maximum/"/>
    <hyperlink ref="B57" r:id="rId111" display="https://leetcode.com/problems/shortest-subarray-with-sum-at-least-k/"/>
    <hyperlink ref="C57" r:id="rId112" display="https://leetcode.com/problems/shortest-subarray-with-sum-at-least-k/"/>
    <hyperlink ref="B58" r:id="rId113" display="https://leetcode.com/problems/constrained-subsequence-sum/"/>
    <hyperlink ref="C58" r:id="rId114" display="https://leetcode.com/problems/constrained-subsequence-sum/"/>
    <hyperlink ref="B59" r:id="rId115" display="https://leetcode.com/problems/longest-continuous-subarray-with-absolute-diff-less-than-or-equal-to-limit/"/>
    <hyperlink ref="C59" r:id="rId116" display="https://leetcode.com/problems/longest-continuous-subarray-with-absolute-diff-less-than-or-equal-to-limit/"/>
    <hyperlink ref="B60" r:id="rId117" display="https://leetcode.com/problems/max-value-of-equation/"/>
    <hyperlink ref="C60" r:id="rId118" display="https://leetcode.com/problems/max-value-of-equation/"/>
    <hyperlink ref="B61" r:id="rId119" display="https://leetcode.com/problems/jump-game-vi/"/>
    <hyperlink ref="C61" r:id="rId120" display="https://leetcode.com/problems/jump-game-vi/"/>
    <hyperlink ref="B62" r:id="rId121" display="https://leetcode.com/problems/kth-largest-element-in-an-array/"/>
    <hyperlink ref="C62" r:id="rId122" display="https://leetcode.com/problems/kth-largest-element-in-an-array/"/>
    <hyperlink ref="B63" r:id="rId123" display="https://leetcode.com/problems/top-k-frequent-elements/"/>
    <hyperlink ref="C63" r:id="rId124" display="https://leetcode.com/problems/top-k-frequent-elements/"/>
    <hyperlink ref="B64" r:id="rId125" display="https://leetcode.com/problems/top-k-frequent-words/"/>
    <hyperlink ref="C64" r:id="rId126" display="https://leetcode.com/problems/top-k-frequent-words/"/>
    <hyperlink ref="B65" r:id="rId127" display="https://leetcode.com/problems/kth-largest-element-in-a-stream/"/>
    <hyperlink ref="C65" r:id="rId128" display="https://leetcode.com/problems/kth-largest-element-in-a-stream/"/>
    <hyperlink ref="B66" r:id="rId129" display="https://leetcode.com/problems/k-closest-points-to-origin/"/>
    <hyperlink ref="C66" r:id="rId130" display="https://leetcode.com/problems/k-closest-points-to-origin/"/>
    <hyperlink ref="B67" r:id="rId131" display="https://leetcode.com/problems/last-stone-weight/"/>
    <hyperlink ref="C67" r:id="rId132" display="https://leetcode.com/problems/last-stone-weight/"/>
    <hyperlink ref="B68" r:id="rId133" display="https://leetcode.com/problems/merge-intervals/"/>
    <hyperlink ref="C68" r:id="rId134" display="https://leetcode.com/problems/merge-intervals/"/>
    <hyperlink ref="B69" r:id="rId135" display="https://leetcode.com/problems/insert-interval/"/>
    <hyperlink ref="C69" r:id="rId136" display="https://leetcode.com/problems/insert-interval/"/>
    <hyperlink ref="B70" r:id="rId137" display="https://leetcode.com/problems/meeting-rooms/"/>
    <hyperlink ref="C70" r:id="rId138" display="https://leetcode.com/problems/meeting-rooms/"/>
    <hyperlink ref="B71" r:id="rId139" display="https://leetcode.com/problems/meeting-rooms-ii/"/>
    <hyperlink ref="C71" r:id="rId140" display="https://leetcode.com/problems/meeting-rooms-ii/"/>
    <hyperlink ref="B72" r:id="rId141" display="https://leetcode.com/problems/non-overlapping-intervals/"/>
    <hyperlink ref="C72" r:id="rId142" display="https://leetcode.com/problems/non-overlapping-intervals/"/>
    <hyperlink ref="B73" r:id="rId143" display="https://leetcode.com/problems/minimum-number-of-arrows-to-burst-balloons/"/>
    <hyperlink ref="C73" r:id="rId144" display="https://leetcode.com/problems/minimum-number-of-arrows-to-burst-balloons/"/>
    <hyperlink ref="B74" r:id="rId145" display="https://leetcode.com/problems/jump-game-ii/"/>
    <hyperlink ref="C74" r:id="rId146" display="https://leetcode.com/problems/jump-game-ii/"/>
    <hyperlink ref="B75" r:id="rId147" display="https://leetcode.com/problems/jump-game/"/>
    <hyperlink ref="C75" r:id="rId148" display="https://leetcode.com/problems/jump-game/"/>
    <hyperlink ref="B76" r:id="rId149" display="https://leetcode.com/problems/queue-reconstruction-by-height/"/>
    <hyperlink ref="C76" r:id="rId150" display="https://leetcode.com/problems/queue-reconstruction-by-height/"/>
    <hyperlink ref="B77" r:id="rId151" display="https://leetcode.com/problems/task-scheduler/"/>
    <hyperlink ref="C77" r:id="rId152" display="https://leetcode.com/problems/task-scheduler/"/>
    <hyperlink ref="B78" r:id="rId153" display="https://leetcode.com/problems/partition-labels/"/>
    <hyperlink ref="C78" r:id="rId154" display="https://leetcode.com/problems/partition-labels/"/>
    <hyperlink ref="B79" r:id="rId155" display="https://leetcode.com/problems/gas-station/"/>
    <hyperlink ref="C79" r:id="rId156" display="https://leetcode.com/problems/gas-station/"/>
    <hyperlink ref="B80" r:id="rId157" display="https://leetcode.com/problems/merge-two-sorted-lists/"/>
    <hyperlink ref="C80" r:id="rId158" display="https://leetcode.com/problems/merge-two-sorted-lists/"/>
    <hyperlink ref="B81" r:id="rId159" display="https://leetcode.com/problems/merge-k-sorted-lists/"/>
    <hyperlink ref="C81" r:id="rId160" display="https://leetcode.com/problems/merge-k-sorted-lists/"/>
    <hyperlink ref="B82" r:id="rId161" display="https://leetcode.com/problems/swap-nodes-in-pairs/"/>
    <hyperlink ref="C82" r:id="rId162" display="https://leetcode.com/problems/swap-nodes-in-pairs/"/>
    <hyperlink ref="B83" r:id="rId163" display="https://leetcode.com/problems/reverse-nodes-in-k-group/"/>
    <hyperlink ref="C83" r:id="rId164" display="https://leetcode.com/problems/reverse-nodes-in-k-group/"/>
    <hyperlink ref="B84" r:id="rId165" display="https://leetcode.com/problems/reverse-linked-list-ii/"/>
    <hyperlink ref="C84" r:id="rId166" display="https://leetcode.com/problems/reverse-linked-list-ii/"/>
    <hyperlink ref="B85" r:id="rId167" display="https://leetcode.com/problems/copy-list-with-random-pointer/"/>
    <hyperlink ref="C85" r:id="rId168" display="https://leetcode.com/problems/copy-list-with-random-pointer/"/>
    <hyperlink ref="B86" r:id="rId169" display="https://leetcode.com/problems/maximum-depth-of-binary-tree/"/>
    <hyperlink ref="C86" r:id="rId170" display="https://leetcode.com/problems/maximum-depth-of-binary-tree/"/>
    <hyperlink ref="B87" r:id="rId171" display="https://leetcode.com/problems/path-sum/"/>
    <hyperlink ref="C87" r:id="rId172" display="https://leetcode.com/problems/path-sum/"/>
    <hyperlink ref="B88" r:id="rId173" display="https://leetcode.com/problems/path-sum-ii/"/>
    <hyperlink ref="C88" r:id="rId174" display="https://leetcode.com/problems/path-sum-ii/"/>
    <hyperlink ref="B89" r:id="rId175" display="https://leetcode.com/problems/diameter-of-binary-tree/"/>
    <hyperlink ref="C89" r:id="rId176" display="https://leetcode.com/problems/diameter-of-binary-tree/"/>
    <hyperlink ref="B90" r:id="rId177" display="https://leetcode.com/problems/binary-tree-maximum-path-sum/"/>
    <hyperlink ref="C90" r:id="rId178" display="https://leetcode.com/problems/binary-tree-maximum-path-sum/"/>
    <hyperlink ref="B91" r:id="rId179" display="https://leetcode.com/problems/invert-binary-tree/"/>
    <hyperlink ref="C91" r:id="rId180" display="https://leetcode.com/problems/invert-binary-tree/"/>
    <hyperlink ref="B92" r:id="rId181" display="https://leetcode.com/problems/binary-tree-level-order-traversal/"/>
    <hyperlink ref="C92" r:id="rId182" display="https://leetcode.com/problems/binary-tree-level-order-traversal/"/>
    <hyperlink ref="B93" r:id="rId183" display="https://leetcode.com/problems/binary-tree-zigzag-level-order-traversal/"/>
    <hyperlink ref="C93" r:id="rId184" display="https://leetcode.com/problems/binary-tree-zigzag-level-order-traversal/"/>
    <hyperlink ref="B94" r:id="rId185" display="https://leetcode.com/problems/binary-tree-right-side-view/"/>
    <hyperlink ref="C94" r:id="rId186" display="https://leetcode.com/problems/binary-tree-right-side-view/"/>
    <hyperlink ref="B95" r:id="rId187" display="https://leetcode.com/problems/find-largest-value-in-each-tree-row/"/>
    <hyperlink ref="C95" r:id="rId188" display="https://leetcode.com/problems/find-largest-value-in-each-tree-row/"/>
    <hyperlink ref="B96" r:id="rId189" display="https://leetcode.com/problems/average-of-levels-in-binary-tree/"/>
    <hyperlink ref="C96" r:id="rId190" display="https://leetcode.com/problems/average-of-levels-in-binary-tree/"/>
    <hyperlink ref="B97" r:id="rId191" display="https://leetcode.com/problems/populating-next-right-pointers-in-each-node/"/>
    <hyperlink ref="C97" r:id="rId192" display="https://leetcode.com/problems/populating-next-right-pointers-in-each-node/"/>
    <hyperlink ref="B98" r:id="rId193" display="https://leetcode.com/problems/validate-binary-search-tree/"/>
    <hyperlink ref="C98" r:id="rId194" display="https://leetcode.com/problems/validate-binary-search-tree/"/>
    <hyperlink ref="B99" r:id="rId195" display="https://leetcode.com/problems/recover-binary-search-tree/"/>
    <hyperlink ref="C99" r:id="rId196" display="https://leetcode.com/problems/recover-binary-search-tree/"/>
    <hyperlink ref="B100" r:id="rId197" display="https://leetcode.com/problems/kth-smallest-element-in-a-bst/"/>
    <hyperlink ref="C100" r:id="rId198" display="https://leetcode.com/problems/kth-smallest-element-in-a-bst/"/>
    <hyperlink ref="B101" r:id="rId199" display="https://leetcode.com/problems/lowest-common-ancestor-of-a-binary-search-tree/"/>
    <hyperlink ref="C101" r:id="rId200" display="https://leetcode.com/problems/lowest-common-ancestor-of-a-binary-search-tree/"/>
    <hyperlink ref="B102" r:id="rId201" display="https://leetcode.com/problems/delete-node-in-a-bst/"/>
    <hyperlink ref="C102" r:id="rId202" display="https://leetcode.com/problems/delete-node-in-a-bst/"/>
    <hyperlink ref="B103" r:id="rId203" display="https://leetcode.com/problems/search-in-a-binary-search-tree/"/>
    <hyperlink ref="C103" r:id="rId204" display="https://leetcode.com/problems/search-in-a-binary-search-tree/"/>
    <hyperlink ref="B104" r:id="rId205" display="https://leetcode.com/problems/permutations/"/>
    <hyperlink ref="C104" r:id="rId206" display="https://leetcode.com/problems/permutations/"/>
    <hyperlink ref="B105" r:id="rId207" display="https://leetcode.com/problems/permutations-ii/"/>
    <hyperlink ref="C105" r:id="rId208" display="https://leetcode.com/problems/permutations-ii/"/>
    <hyperlink ref="B106" r:id="rId209" display="https://leetcode.com/problems/combinations/"/>
    <hyperlink ref="C106" r:id="rId210" display="https://leetcode.com/problems/combinations/"/>
    <hyperlink ref="B107" r:id="rId211" display="https://leetcode.com/problems/subsets/"/>
    <hyperlink ref="C107" r:id="rId212" display="https://leetcode.com/problems/subsets/"/>
    <hyperlink ref="B108" r:id="rId213" display="https://leetcode.com/problems/subsets-ii/"/>
    <hyperlink ref="C108" r:id="rId214" display="https://leetcode.com/problems/subsets-ii/"/>
    <hyperlink ref="B109" r:id="rId215" display="https://leetcode.com/problems/combination-sum/"/>
    <hyperlink ref="C109" r:id="rId216" display="https://leetcode.com/problems/combination-sum/"/>
    <hyperlink ref="B110" r:id="rId217" display="https://leetcode.com/problems/combination-sum-ii/"/>
    <hyperlink ref="C110" r:id="rId218" display="https://leetcode.com/problems/combination-sum-ii/"/>
    <hyperlink ref="B111" r:id="rId219" display="https://leetcode.com/problems/letter-combinations-of-a-phone-number/"/>
    <hyperlink ref="C111" r:id="rId220" display="https://leetcode.com/problems/letter-combinations-of-a-phone-number/"/>
    <hyperlink ref="B112" r:id="rId221" display="https://leetcode.com/problems/word-search/"/>
    <hyperlink ref="C112" r:id="rId222" display="https://leetcode.com/problems/word-search/"/>
    <hyperlink ref="B113" r:id="rId223" display="https://leetcode.com/problems/palindrome-partitioning/"/>
    <hyperlink ref="C113" r:id="rId224" display="https://leetcode.com/problems/palindrome-partitioning/"/>
    <hyperlink ref="B114" r:id="rId225" display="https://leetcode.com/problems/n-queens/"/>
    <hyperlink ref="C114" r:id="rId226" display="https://leetcode.com/problems/n-queens/"/>
    <hyperlink ref="B115" r:id="rId227" display="https://leetcode.com/problems/n-queens-ii/"/>
    <hyperlink ref="C115" r:id="rId228" display="https://leetcode.com/problems/n-queens-ii/"/>
    <hyperlink ref="B116" r:id="rId229" display="https://leetcode.com/problems/number-of-islands/"/>
    <hyperlink ref="C116" r:id="rId230" display="https://leetcode.com/problems/number-of-islands/"/>
    <hyperlink ref="B117" r:id="rId231" display="https://leetcode.com/problems/max-area-of-island/"/>
    <hyperlink ref="C117" r:id="rId232" display="https://leetcode.com/problems/max-area-of-island/"/>
    <hyperlink ref="B118" r:id="rId233" display="https://leetcode.com/problems/flood-fill/"/>
    <hyperlink ref="C118" r:id="rId234" display="https://leetcode.com/problems/flood-fill/"/>
    <hyperlink ref="B119" r:id="rId235" display="https://leetcode.com/problems/rotting-oranges/"/>
    <hyperlink ref="C119" r:id="rId236" display="https://leetcode.com/problems/rotting-oranges/"/>
    <hyperlink ref="B120" r:id="rId237" display="https://leetcode.com/problems/shortest-path-in-binary-matrix/"/>
    <hyperlink ref="C120" r:id="rId238" display="https://leetcode.com/problems/shortest-path-in-binary-matrix/"/>
    <hyperlink ref="B121" r:id="rId239" display="https://leetcode.com/problems/number-of-closed-islands/"/>
    <hyperlink ref="C121" r:id="rId240" display="https://leetcode.com/problems/number-of-closed-islands/"/>
    <hyperlink ref="B122" r:id="rId241" display="https://leetcode.com/problems/course-schedule/"/>
    <hyperlink ref="C122" r:id="rId242" display="https://leetcode.com/problems/course-schedule/"/>
    <hyperlink ref="B123" r:id="rId243" display="https://leetcode.com/problems/course-schedule-ii/"/>
    <hyperlink ref="C123" r:id="rId244" display="https://leetcode.com/problems/course-schedule-ii/"/>
    <hyperlink ref="B124" r:id="rId245" display="https://leetcode.com/problems/find-eventual-safe-states/"/>
    <hyperlink ref="C124" r:id="rId246" display="https://leetcode.com/problems/find-eventual-safe-states/"/>
    <hyperlink ref="B125" r:id="rId247" display="https://leetcode.com/problems/course-schedule-iv/"/>
    <hyperlink ref="C125" r:id="rId248" display="https://leetcode.com/problems/course-schedule-iv/"/>
    <hyperlink ref="B126" r:id="rId249" display="https://leetcode.com/problems/sort-items-by-groups-respecting-dependencies/"/>
    <hyperlink ref="C126" r:id="rId250" display="https://leetcode.com/problems/sort-items-by-groups-respecting-dependencies/"/>
    <hyperlink ref="B127" r:id="rId251" display="https://leetcode.com/problems/find-all-possible-recipes-from-given-supplies/"/>
    <hyperlink ref="C127" r:id="rId252" display="https://leetcode.com/problems/find-all-possible-recipes-from-given-supplies/"/>
    <hyperlink ref="B128" r:id="rId253" display="https://leetcode.com/problems/number-of-provinces/"/>
    <hyperlink ref="C128" r:id="rId254" display="https://leetcode.com/problems/number-of-provinces/"/>
    <hyperlink ref="B129" r:id="rId255" display="https://leetcode.com/problems/redundant-connection/"/>
    <hyperlink ref="C129" r:id="rId256" display="https://leetcode.com/problems/redundant-connection/"/>
    <hyperlink ref="B130" r:id="rId257" display="https://leetcode.com/problems/number-of-operations-to-make-network-connected/"/>
    <hyperlink ref="C130" r:id="rId258" display="https://leetcode.com/problems/number-of-operations-to-make-network-connected/"/>
    <hyperlink ref="B131" r:id="rId259" display="https://leetcode.com/problems/remove-max-number-of-edges-to-keep-graph-fully-traversable/"/>
    <hyperlink ref="C131" r:id="rId260" display="https://leetcode.com/problems/remove-max-number-of-edges-to-keep-graph-fully-traversable/"/>
    <hyperlink ref="B132" r:id="rId261" display="https://leetcode.com/problems/satisfiability-of-equality-equations/"/>
    <hyperlink ref="C132" r:id="rId262" display="https://leetcode.com/problems/satisfiability-of-equality-equations/"/>
    <hyperlink ref="B133" r:id="rId263" display="https://leetcode.com/problems/smallest-string-with-swaps/"/>
    <hyperlink ref="C133" r:id="rId264" display="https://leetcode.com/problems/smallest-string-with-swaps/"/>
    <hyperlink ref="B134" r:id="rId265" display="https://leetcode.com/problems/network-delay-time/"/>
    <hyperlink ref="C134" r:id="rId266" display="https://leetcode.com/problems/network-delay-time/"/>
    <hyperlink ref="B135" r:id="rId267" display="https://leetcode.com/problems/cheapest-flights-within-k-stops/"/>
    <hyperlink ref="C135" r:id="rId268" display="https://leetcode.com/problems/cheapest-flights-within-k-stops/"/>
    <hyperlink ref="B136" r:id="rId269" display="https://leetcode.com/problems/path-with-maximum-probability/"/>
    <hyperlink ref="C136" r:id="rId270" display="https://leetcode.com/problems/path-with-maximum-probability/"/>
    <hyperlink ref="B137" r:id="rId271" display="https://leetcode.com/problems/path-with-minimum-effort/"/>
    <hyperlink ref="C137" r:id="rId272" display="https://leetcode.com/problems/path-with-minimum-effort/"/>
    <hyperlink ref="B138" r:id="rId273" display="https://leetcode.com/problems/find-the-city-with-the-smallest-number-of-neighbors-at-a-threshold-distance/"/>
    <hyperlink ref="C138" r:id="rId274" display="https://leetcode.com/problems/find-the-city-with-the-smallest-number-of-neighbors-at-a-threshold-distance/"/>
    <hyperlink ref="B139" r:id="rId275" display="https://leetcode.com/problems/number-of-ways-to-arrive-at-destination/"/>
    <hyperlink ref="C139" r:id="rId276" display="https://leetcode.com/problems/number-of-ways-to-arrive-at-destination/"/>
    <hyperlink ref="B140" r:id="rId277" display="https://leetcode.com/problems/min-cost-to-connect-all-points/"/>
    <hyperlink ref="C140" r:id="rId278" display="https://leetcode.com/problems/min-cost-to-connect-all-points/"/>
    <hyperlink ref="B141" r:id="rId279" display="https://leetcode.com/problems/connecting-cities-with-minimum-cost/"/>
    <hyperlink ref="C141" r:id="rId280" display="https://leetcode.com/problems/connecting-cities-with-minimum-cost/"/>
    <hyperlink ref="B142" r:id="rId281" display="https://leetcode.com/problems/optimize-water-distribution-in-a-village/"/>
    <hyperlink ref="C142" r:id="rId282" display="https://leetcode.com/problems/optimize-water-distribution-in-a-village/"/>
    <hyperlink ref="B143" r:id="rId283" display="https://leetcode.com/problems/find-critical-and-pseudo-critical-edges-in-minimum-spanning-tree/"/>
    <hyperlink ref="C143" r:id="rId284" display="https://leetcode.com/problems/find-critical-and-pseudo-critical-edges-in-minimum-spanning-tree/"/>
    <hyperlink ref="B144" r:id="rId285" display="https://leetcode.com/problems/swim-in-rising-water/"/>
    <hyperlink ref="C144" r:id="rId286" display="https://leetcode.com/problems/swim-in-rising-water/"/>
    <hyperlink ref="B145" r:id="rId287" display="https://leetcode.com/problems/path-with-maximum-minimum-value/"/>
    <hyperlink ref="C145" r:id="rId288" display="https://leetcode.com/problems/path-with-maximum-minimum-value/"/>
    <hyperlink ref="B146" r:id="rId289" display="https://leetcode.com/problems/implement-trie-prefix-tree/"/>
    <hyperlink ref="C146" r:id="rId290" display="https://leetcode.com/problems/implement-trie-prefix-tree/"/>
    <hyperlink ref="B147" r:id="rId291" display="https://leetcode.com/problems/design-add-and-search-words-data-structure/"/>
    <hyperlink ref="C147" r:id="rId292" display="https://leetcode.com/problems/design-add-and-search-words-data-structure/"/>
    <hyperlink ref="B148" r:id="rId293" display="https://leetcode.com/problems/word-search-ii/"/>
    <hyperlink ref="C148" r:id="rId294" display="https://leetcode.com/problems/word-search-ii/"/>
    <hyperlink ref="B149" r:id="rId295" display="https://leetcode.com/problems/replace-words/"/>
    <hyperlink ref="C149" r:id="rId296" display="https://leetcode.com/problems/replace-words/"/>
    <hyperlink ref="B150" r:id="rId297" display="https://leetcode.com/problems/map-sum-pairs/"/>
    <hyperlink ref="C150" r:id="rId298" display="https://leetcode.com/problems/map-sum-pairs/"/>
    <hyperlink ref="B151" r:id="rId299" display="https://leetcode.com/problems/search-suggestions-system/"/>
    <hyperlink ref="C151" r:id="rId300" display="https://leetcode.com/problems/search-suggestions-system/"/>
    <hyperlink ref="B152" r:id="rId301" display="https://leetcode.com/problems/single-number/"/>
    <hyperlink ref="C152" r:id="rId302" display="https://leetcode.com/problems/single-number/"/>
    <hyperlink ref="B153" r:id="rId303" display="https://leetcode.com/problems/single-number-ii/"/>
    <hyperlink ref="C153" r:id="rId304" display="https://leetcode.com/problems/single-number-ii/"/>
    <hyperlink ref="B154" r:id="rId305" display="https://leetcode.com/problems/number-of-1-bits/"/>
    <hyperlink ref="C154" r:id="rId306" display="https://leetcode.com/problems/number-of-1-bits/"/>
    <hyperlink ref="B155" r:id="rId307" display="https://leetcode.com/problems/counting-bits/"/>
    <hyperlink ref="C155" r:id="rId308" display="https://leetcode.com/problems/counting-bits/"/>
    <hyperlink ref="B156" r:id="rId309" display="https://leetcode.com/problems/missing-number/"/>
    <hyperlink ref="C156" r:id="rId310" display="https://leetcode.com/problems/missing-number/"/>
    <hyperlink ref="B157" r:id="rId311" display="https://leetcode.com/problems/reverse-bits/"/>
    <hyperlink ref="C157" r:id="rId312" display="https://leetcode.com/problems/reverse-bits/"/>
    <hyperlink ref="B158" r:id="rId313" display="https://leetcode.com/problems/climbing-stairs/"/>
    <hyperlink ref="C158" r:id="rId314" display="https://leetcode.com/problems/climbing-stairs/"/>
    <hyperlink ref="B159" r:id="rId315" display="https://leetcode.com/problems/house-robber/"/>
    <hyperlink ref="C159" r:id="rId316" display="https://leetcode.com/problems/house-robber/"/>
    <hyperlink ref="B160" r:id="rId317" display="https://leetcode.com/problems/house-robber-ii/"/>
    <hyperlink ref="C160" r:id="rId318" display="https://leetcode.com/problems/house-robber-ii/"/>
    <hyperlink ref="B161" r:id="rId319" display="https://leetcode.com/problems/coin-change/"/>
    <hyperlink ref="C161" r:id="rId320" display="https://leetcode.com/problems/coin-change/"/>
    <hyperlink ref="B162" r:id="rId321" display="https://leetcode.com/problems/perfect-squares/"/>
    <hyperlink ref="C162" r:id="rId322" display="https://leetcode.com/problems/perfect-squares/"/>
    <hyperlink ref="B163" r:id="rId323" display="https://leetcode.com/problems/longest-increasing-subsequence/"/>
    <hyperlink ref="C163" r:id="rId324" display="https://leetcode.com/problems/longest-increasing-subsequence/"/>
    <hyperlink ref="B164" r:id="rId325" display="https://leetcode.com/problems/partition-equal-subset-sum/"/>
    <hyperlink ref="C164" r:id="rId326" display="https://leetcode.com/problems/partition-equal-subset-sum/"/>
    <hyperlink ref="B165" r:id="rId327" display="https://leetcode.com/problems/target-sum/"/>
    <hyperlink ref="C165" r:id="rId328" display="https://leetcode.com/problems/target-sum/"/>
    <hyperlink ref="B166" r:id="rId329" display="https://leetcode.com/problems/coin-change-ii/"/>
    <hyperlink ref="C166" r:id="rId330" display="https://leetcode.com/problems/coin-change-ii/"/>
    <hyperlink ref="B167" r:id="rId331" display="https://leetcode.com/problems/ones-and-zeroes/"/>
    <hyperlink ref="C167" r:id="rId332" display="https://leetcode.com/problems/ones-and-zeroes/"/>
    <hyperlink ref="B168" r:id="rId333" display="https://leetcode.com/problems/last-stone-weight-ii/"/>
    <hyperlink ref="C168" r:id="rId334" display="https://leetcode.com/problems/last-stone-weight-ii/"/>
    <hyperlink ref="B169" r:id="rId335" display="https://leetcode.com/problems/profitable-schemes/"/>
    <hyperlink ref="C169" r:id="rId336" display="https://leetcode.com/problems/profitable-schemes/"/>
    <hyperlink ref="B170" r:id="rId337" display="https://leetcode.com/problems/unique-paths/"/>
    <hyperlink ref="C170" r:id="rId338" display="https://leetcode.com/problems/unique-paths/"/>
    <hyperlink ref="B171" r:id="rId339" display="https://leetcode.com/problems/unique-paths-ii/"/>
    <hyperlink ref="C171" r:id="rId340" display="https://leetcode.com/problems/unique-paths-ii/"/>
    <hyperlink ref="B172" r:id="rId341" display="https://leetcode.com/problems/minimum-path-sum/"/>
    <hyperlink ref="C172" r:id="rId342" display="https://leetcode.com/problems/minimum-path-sum/"/>
    <hyperlink ref="B173" r:id="rId343" display="https://leetcode.com/problems/maximal-square/"/>
    <hyperlink ref="C173" r:id="rId344" display="https://leetcode.com/problems/maximal-square/"/>
    <hyperlink ref="B174" r:id="rId345" display="https://leetcode.com/problems/minimum-falling-path-sum/"/>
    <hyperlink ref="C174" r:id="rId346" display="https://leetcode.com/problems/minimum-falling-path-sum/"/>
    <hyperlink ref="B175" r:id="rId347" display="https://leetcode.com/problems/triangle/"/>
    <hyperlink ref="C175" r:id="rId348" display="https://leetcode.com/problems/triangle/"/>
    <hyperlink ref="B176" r:id="rId349" display="https://leetcode.com/problems/longest-common-subsequence/"/>
    <hyperlink ref="C176" r:id="rId350" display="https://leetcode.com/problems/longest-common-subsequence/"/>
    <hyperlink ref="B177" r:id="rId351" display="https://leetcode.com/problems/edit-distance/"/>
    <hyperlink ref="C177" r:id="rId352" display="https://leetcode.com/problems/edit-distance/"/>
    <hyperlink ref="B178" r:id="rId353" display="https://leetcode.com/problems/distinct-subsequences/"/>
    <hyperlink ref="C178" r:id="rId354" display="https://leetcode.com/problems/distinct-subsequences/"/>
    <hyperlink ref="B179" r:id="rId355" display="https://leetcode.com/problems/delete-operation-for-two-strings/"/>
    <hyperlink ref="C179" r:id="rId356" display="https://leetcode.com/problems/delete-operation-for-two-strings/"/>
    <hyperlink ref="B180" r:id="rId357" display="https://leetcode.com/problems/interleaving-string/"/>
    <hyperlink ref="C180" r:id="rId358" display="https://leetcode.com/problems/interleaving-string/"/>
    <hyperlink ref="B181" r:id="rId359" display="https://leetcode.com/problems/minimum-insertion-steps-to-make-a-string-palindrome/"/>
    <hyperlink ref="C181" r:id="rId360" display="https://leetcode.com/problems/minimum-insertion-steps-to-make-a-string-palindrom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2026-10-21T13:38:18Z</dcterms:created>
  <dc:creator>openpyxl</dc:creator>
  <dc:description/>
  <dc:language>en-IN</dc:language>
  <cp:lastModifiedBy/>
  <dcterms:modified xsi:type="dcterms:W3CDTF">2026-10-26T12:00:22Z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